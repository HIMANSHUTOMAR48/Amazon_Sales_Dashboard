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0BC1DE6F-A07F-4783-91DE-641BDA2D2CE9}" xr6:coauthVersionLast="47" xr6:coauthVersionMax="47" xr10:uidLastSave="{00000000-0000-0000-0000-000000000000}"/>
  <bookViews>
    <workbookView xWindow="-110" yWindow="-110" windowWidth="19420" windowHeight="10300" firstSheet="3" activeTab="6" xr2:uid="{259F4B9B-9304-4F5A-AAC5-C8C9C3D24950}"/>
  </bookViews>
  <sheets>
    <sheet name="top 10 product" sheetId="4" r:id="rId1"/>
    <sheet name="category" sheetId="5" r:id="rId2"/>
    <sheet name="Sheet6" sheetId="7" r:id="rId3"/>
    <sheet name="top 10 brand" sheetId="6" r:id="rId4"/>
    <sheet name="amazon data" sheetId="1" r:id="rId5"/>
    <sheet name="mis summary" sheetId="2" r:id="rId6"/>
    <sheet name="mis dashboard" sheetId="3" r:id="rId7"/>
  </sheets>
  <definedNames>
    <definedName name="Slicer_category">#N/A</definedName>
    <definedName name="Slicer_product_brand">#N/A</definedName>
    <definedName name="Slicer_product_name">#N/A</definedName>
  </definedNames>
  <calcPr calcId="0"/>
  <pivotCaches>
    <pivotCache cacheId="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2" l="1" a="1"/>
  <c r="B5" i="2"/>
  <c r="B4" i="2"/>
  <c r="B3" i="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<sst xmlns="http://schemas.openxmlformats.org/spreadsheetml/2006/main" count="1545" uniqueCount="545">
  <si>
    <t>product_name</t>
  </si>
  <si>
    <t>price</t>
  </si>
  <si>
    <t>stock_quantity</t>
  </si>
  <si>
    <t>category</t>
  </si>
  <si>
    <t>product_brand</t>
  </si>
  <si>
    <t>Sea Salt Caramel Popcorn</t>
  </si>
  <si>
    <t>electronics</t>
  </si>
  <si>
    <t>Food - Snacks</t>
  </si>
  <si>
    <t>Sunglasses</t>
  </si>
  <si>
    <t>home goods</t>
  </si>
  <si>
    <t>Accessories</t>
  </si>
  <si>
    <t>Rainbow Veggie Chips</t>
  </si>
  <si>
    <t>toys</t>
  </si>
  <si>
    <t>Gingerbread House Kit</t>
  </si>
  <si>
    <t>books</t>
  </si>
  <si>
    <t>Food - Baking</t>
  </si>
  <si>
    <t>Garlic Parmesan Roasted Nuts</t>
  </si>
  <si>
    <t>clothing</t>
  </si>
  <si>
    <t>Food - Nuts</t>
  </si>
  <si>
    <t>Car Sunshade</t>
  </si>
  <si>
    <t>Automotive</t>
  </si>
  <si>
    <t>Biodegradable Phone Case</t>
  </si>
  <si>
    <t>Winter Knit Beanie</t>
  </si>
  <si>
    <t>Clothing</t>
  </si>
  <si>
    <t>Maxi Wrap Dress</t>
  </si>
  <si>
    <t>Clothing - Dresses</t>
  </si>
  <si>
    <t>Sliced Cucumbers</t>
  </si>
  <si>
    <t>Food - Produce</t>
  </si>
  <si>
    <t>High-Quality Yoga Block</t>
  </si>
  <si>
    <t>Fitness</t>
  </si>
  <si>
    <t>Savory Mushroom Risotto</t>
  </si>
  <si>
    <t>Food - Gourmet Rice</t>
  </si>
  <si>
    <t>LED Flashlight with Rechargeable Batteries</t>
  </si>
  <si>
    <t>Outdoor</t>
  </si>
  <si>
    <t>Surimi Crab Sticks</t>
  </si>
  <si>
    <t>Food - Seafood</t>
  </si>
  <si>
    <t>Beef Jerky</t>
  </si>
  <si>
    <t>Under Desk Footrest</t>
  </si>
  <si>
    <t>Office</t>
  </si>
  <si>
    <t>Mini Projector for Smartphones</t>
  </si>
  <si>
    <t>Electronics</t>
  </si>
  <si>
    <t>Basil Lemonade</t>
  </si>
  <si>
    <t>Food - Beverages</t>
  </si>
  <si>
    <t>Canvas Wall Art</t>
  </si>
  <si>
    <t>Home</t>
  </si>
  <si>
    <t>Portable Speaker Stand</t>
  </si>
  <si>
    <t>Audio</t>
  </si>
  <si>
    <t>Diced Tomatoes (canned)</t>
  </si>
  <si>
    <t>Food - Canned Goods</t>
  </si>
  <si>
    <t>Outdoor Sports Backpack</t>
  </si>
  <si>
    <t>Customizable Photo Calendar</t>
  </si>
  <si>
    <t>Books</t>
  </si>
  <si>
    <t>Chickpea Pancakes</t>
  </si>
  <si>
    <t>Food - Frozen</t>
  </si>
  <si>
    <t>Window Blinds</t>
  </si>
  <si>
    <t>Scented Candles</t>
  </si>
  <si>
    <t>Sweet and Spicy Barbecue Sauce</t>
  </si>
  <si>
    <t>Food - Condiments</t>
  </si>
  <si>
    <t>Pest Control Traps</t>
  </si>
  <si>
    <t>Bluetooth Shower Speaker</t>
  </si>
  <si>
    <t>Organic Sweet Potatoes</t>
  </si>
  <si>
    <t>Chipotle Sauce</t>
  </si>
  <si>
    <t>Wireless Game Controller</t>
  </si>
  <si>
    <t>Gaming</t>
  </si>
  <si>
    <t>Mango Salsa</t>
  </si>
  <si>
    <t>Indoor Plants</t>
  </si>
  <si>
    <t>Garden</t>
  </si>
  <si>
    <t>Plant Growing Kit</t>
  </si>
  <si>
    <t>Smoked Gouda Cheese</t>
  </si>
  <si>
    <t>Food - Dairy</t>
  </si>
  <si>
    <t>Organic Coconut Flakes</t>
  </si>
  <si>
    <t>Recipe Book Stand</t>
  </si>
  <si>
    <t>Kitchen</t>
  </si>
  <si>
    <t>Garden Vegetable Chips</t>
  </si>
  <si>
    <t>Electric Wine Opener</t>
  </si>
  <si>
    <t>Magic Color-Changing Mug</t>
  </si>
  <si>
    <t>Emergency Preparedness Kit</t>
  </si>
  <si>
    <t>Safety</t>
  </si>
  <si>
    <t>Wi-Fi Enabled Smart Light Switch</t>
  </si>
  <si>
    <t>Smart Home</t>
  </si>
  <si>
    <t>Maple Pecan Pancake Mix</t>
  </si>
  <si>
    <t>Food - Breakfast</t>
  </si>
  <si>
    <t>Garden Tool Set</t>
  </si>
  <si>
    <t>Fruit Medley Juice</t>
  </si>
  <si>
    <t>Smartphone Tripod</t>
  </si>
  <si>
    <t>Photography</t>
  </si>
  <si>
    <t>Bluetooth Sleep Headphones</t>
  </si>
  <si>
    <t>Kids' Crafting Station</t>
  </si>
  <si>
    <t>Toys</t>
  </si>
  <si>
    <t>Smart Wi-Fi Camera</t>
  </si>
  <si>
    <t>Stainless Steel Travel Mug</t>
  </si>
  <si>
    <t>Luxury Memory Foam Mattress Topper</t>
  </si>
  <si>
    <t>Multifunctional Pocket Tool</t>
  </si>
  <si>
    <t>Tools</t>
  </si>
  <si>
    <t>Chocolate Syrup</t>
  </si>
  <si>
    <t>Herbed Chicken Breast</t>
  </si>
  <si>
    <t>Food - Meat</t>
  </si>
  <si>
    <t>Roasted Sweet Corn</t>
  </si>
  <si>
    <t>Brazil Nuts</t>
  </si>
  <si>
    <t>Portable Leaf Blower</t>
  </si>
  <si>
    <t>Set of Measuring Spoons</t>
  </si>
  <si>
    <t>Chocolate Chip Cookie Dough</t>
  </si>
  <si>
    <t>Toasted Coconut Granola</t>
  </si>
  <si>
    <t>Honey-Balsamic Vinaigrette</t>
  </si>
  <si>
    <t>Food - Dressing</t>
  </si>
  <si>
    <t>Portable Air Compressor</t>
  </si>
  <si>
    <t>Chewy Granola Bars</t>
  </si>
  <si>
    <t>Sweet Potato Tots</t>
  </si>
  <si>
    <t>Food - Frozen Foods</t>
  </si>
  <si>
    <t>Gaming Mousepad</t>
  </si>
  <si>
    <t>Honey Mustard Chicken Breasts</t>
  </si>
  <si>
    <t>Portable Air Purifier</t>
  </si>
  <si>
    <t>Health</t>
  </si>
  <si>
    <t>Spicy Tuna Salad</t>
  </si>
  <si>
    <t>Oatmeal Raisin Cookies</t>
  </si>
  <si>
    <t>Food - Baked Goods</t>
  </si>
  <si>
    <t>Children's Backpack</t>
  </si>
  <si>
    <t>Pumpkin Spice Muffins</t>
  </si>
  <si>
    <t>Food - Bakery</t>
  </si>
  <si>
    <t>Organic Cereal Bars</t>
  </si>
  <si>
    <t>Feta Cheese</t>
  </si>
  <si>
    <t>Patterned Knit Scarf</t>
  </si>
  <si>
    <t>Clothing - Accessories</t>
  </si>
  <si>
    <t>Face Mask Set</t>
  </si>
  <si>
    <t>Foam Muscle Roller</t>
  </si>
  <si>
    <t>Pet Reflective Vest</t>
  </si>
  <si>
    <t>Pets</t>
  </si>
  <si>
    <t>Shatterproof Wine Glasses</t>
  </si>
  <si>
    <t>Car Phone Mount</t>
  </si>
  <si>
    <t>Kale Caesar Salad Kit</t>
  </si>
  <si>
    <t>Food - Salads</t>
  </si>
  <si>
    <t>Portable Charger with Solar Panel</t>
  </si>
  <si>
    <t>Sketchbook</t>
  </si>
  <si>
    <t>Art Supplies</t>
  </si>
  <si>
    <t>Asian Noodle Salad Kit</t>
  </si>
  <si>
    <t>Herbal Tea Variety Pack</t>
  </si>
  <si>
    <t>Sesame Oil</t>
  </si>
  <si>
    <t>Food - Oils &amp; Vinegars</t>
  </si>
  <si>
    <t>Fruit &amp; Nut Trail Mix</t>
  </si>
  <si>
    <t>Smart Plug</t>
  </si>
  <si>
    <t>Inflatable Party Cooler</t>
  </si>
  <si>
    <t>Smartphone Car Mount with Wireless Charging</t>
  </si>
  <si>
    <t>Savory Oats</t>
  </si>
  <si>
    <t>Creamy Coleslaw Mix</t>
  </si>
  <si>
    <t>Oven Thermometer</t>
  </si>
  <si>
    <t>Pork Chops</t>
  </si>
  <si>
    <t>Silicone Wine Glasses</t>
  </si>
  <si>
    <t>Spicy Beef Taco Mix</t>
  </si>
  <si>
    <t>Vintage Graphic Tee</t>
  </si>
  <si>
    <t>Clothing - Tops</t>
  </si>
  <si>
    <t>LED Disco Ball Light</t>
  </si>
  <si>
    <t>Grilled Veggie Burgers</t>
  </si>
  <si>
    <t>Food - Meat Alternatives</t>
  </si>
  <si>
    <t>Almond Joy Snack Bars</t>
  </si>
  <si>
    <t>Lemon Herb Quinoa</t>
  </si>
  <si>
    <t>Food - Grains</t>
  </si>
  <si>
    <t>Party Mini Dress</t>
  </si>
  <si>
    <t>Insulated Lunch Bag</t>
  </si>
  <si>
    <t>Adjustable Standing Desk</t>
  </si>
  <si>
    <t>Electric Toothbrush Holder</t>
  </si>
  <si>
    <t>Organic Granola</t>
  </si>
  <si>
    <t>Chicken Sausage</t>
  </si>
  <si>
    <t>Comfort Flats</t>
  </si>
  <si>
    <t>Clothing - Shoes</t>
  </si>
  <si>
    <t>Reusable Produce Bags Set</t>
  </si>
  <si>
    <t>Spaghetti Sauce</t>
  </si>
  <si>
    <t>Water Bottle</t>
  </si>
  <si>
    <t>Spicy Thai Noodles</t>
  </si>
  <si>
    <t>Food - Frozen Meals</t>
  </si>
  <si>
    <t>Peanut Butter Granola</t>
  </si>
  <si>
    <t>Hair Dryer</t>
  </si>
  <si>
    <t>Beauty</t>
  </si>
  <si>
    <t>Coconut Chia Seed Pudding</t>
  </si>
  <si>
    <t>Camping Chair</t>
  </si>
  <si>
    <t>Organic Whole Wheat Flour</t>
  </si>
  <si>
    <t>Food - Baking Goods</t>
  </si>
  <si>
    <t>Magnetic Whiteboard</t>
  </si>
  <si>
    <t>Classic Baseball Cap</t>
  </si>
  <si>
    <t>Honey Roasted Chickpeas</t>
  </si>
  <si>
    <t>Spicy Garlic Edamame</t>
  </si>
  <si>
    <t>Raisin Cinnamon Granola</t>
  </si>
  <si>
    <t>Food - Cereals</t>
  </si>
  <si>
    <t>Wireless Gaming Headset</t>
  </si>
  <si>
    <t>Fire Roasted Salsa</t>
  </si>
  <si>
    <t>Puff Pastry</t>
  </si>
  <si>
    <t>Watercolor Paint Set</t>
  </si>
  <si>
    <t>Adjustable Garden Rake</t>
  </si>
  <si>
    <t>Maple Cinnamon Almonds</t>
  </si>
  <si>
    <t>Sweet Pea Hummus</t>
  </si>
  <si>
    <t>Food - Dips</t>
  </si>
  <si>
    <t>High-Top Leather Boots</t>
  </si>
  <si>
    <t>Clothing - Footwear</t>
  </si>
  <si>
    <t>Californian Raisins</t>
  </si>
  <si>
    <t>Food - Dried Fruits</t>
  </si>
  <si>
    <t>Personalized Keychain</t>
  </si>
  <si>
    <t>Smoked Paprika Chicken Thighs</t>
  </si>
  <si>
    <t>Electric Food Slicer</t>
  </si>
  <si>
    <t>Sustainable Wooden Toys</t>
  </si>
  <si>
    <t>Hand Crank Blender</t>
  </si>
  <si>
    <t>Dishwasher Safe Cutting Board</t>
  </si>
  <si>
    <t>Protein Bar Variety Pack</t>
  </si>
  <si>
    <t>Casual Sneakers</t>
  </si>
  <si>
    <t>High-Speed Blender</t>
  </si>
  <si>
    <t>Decorative LED Neon Sign</t>
  </si>
  <si>
    <t>Tomato Sauce</t>
  </si>
  <si>
    <t>Organic Tomato Soup</t>
  </si>
  <si>
    <t>Electric Wax Warmer</t>
  </si>
  <si>
    <t>Zesty Garlic Hummus</t>
  </si>
  <si>
    <t>Almond Milk</t>
  </si>
  <si>
    <t>Pet Hair Vacuum Attachment</t>
  </si>
  <si>
    <t>Raspberry Vanilla Greek Yogurt</t>
  </si>
  <si>
    <t>Pet Tracking Collar</t>
  </si>
  <si>
    <t>Teriyaki Beef Strips</t>
  </si>
  <si>
    <t>Tandoori Chicken Marinade</t>
  </si>
  <si>
    <t>Peach Mango Smoothie</t>
  </si>
  <si>
    <t>DIY Lip Balm Kit</t>
  </si>
  <si>
    <t>Crafts</t>
  </si>
  <si>
    <t>Smartphone Projector Kit</t>
  </si>
  <si>
    <t>Dark Chocolate Bars</t>
  </si>
  <si>
    <t>Multicolored LED Strip Lights</t>
  </si>
  <si>
    <t>Banana Peanut Butter Smoothie</t>
  </si>
  <si>
    <t>High-Waisted Skirt</t>
  </si>
  <si>
    <t>Clothing - Bottoms</t>
  </si>
  <si>
    <t>Coconut Chips</t>
  </si>
  <si>
    <t>Electric Nail File Kit</t>
  </si>
  <si>
    <t>Electric Milk Frother</t>
  </si>
  <si>
    <t>Electric Rice Cooker</t>
  </si>
  <si>
    <t>Wrap Front Midi Skirt</t>
  </si>
  <si>
    <t>Cinnamon Raisin Bagels</t>
  </si>
  <si>
    <t>Hiking Boots</t>
  </si>
  <si>
    <t>Footwear</t>
  </si>
  <si>
    <t>Hand Mixer</t>
  </si>
  <si>
    <t>Vegetable Pizza Rolls</t>
  </si>
  <si>
    <t>Beard Grooming Kit</t>
  </si>
  <si>
    <t>Grooming</t>
  </si>
  <si>
    <t>Mini Cordless Vacuum Cleaner</t>
  </si>
  <si>
    <t>Home Appliances</t>
  </si>
  <si>
    <t>Tea Infuser</t>
  </si>
  <si>
    <t>Wireless Smart Plug</t>
  </si>
  <si>
    <t>Buffalo Chicken Wraps</t>
  </si>
  <si>
    <t>Food - Prepared Meals</t>
  </si>
  <si>
    <t>Mini Indoor Hydroponic Garden</t>
  </si>
  <si>
    <t>Caramel Sauce</t>
  </si>
  <si>
    <t>Apple Cinnamon Granola</t>
  </si>
  <si>
    <t>Pumpkin Spice Coffee</t>
  </si>
  <si>
    <t>Scented Soy Candles</t>
  </si>
  <si>
    <t>Coconut Milk Ice Cream</t>
  </si>
  <si>
    <t>Food - Frozen Desserts</t>
  </si>
  <si>
    <t>Digital Drawing Tablet</t>
  </si>
  <si>
    <t>Adjustable Laptop Desk</t>
  </si>
  <si>
    <t>Sweet Chili Sauce</t>
  </si>
  <si>
    <t>Granola Clusters</t>
  </si>
  <si>
    <t>Food - Cereal</t>
  </si>
  <si>
    <t>Mango Chili Salsa</t>
  </si>
  <si>
    <t>DIY Lip Balm Making Kit</t>
  </si>
  <si>
    <t>Mini Fondue Set</t>
  </si>
  <si>
    <t>Almond Flour Brownies</t>
  </si>
  <si>
    <t>Cinnamon Spiced Almonds</t>
  </si>
  <si>
    <t>Portable Pet Bathing Tool</t>
  </si>
  <si>
    <t>Vegetable Lentil Soup</t>
  </si>
  <si>
    <t>Floral Summer Dress</t>
  </si>
  <si>
    <t>LED Canopy Lights</t>
  </si>
  <si>
    <t>Electric Pressure Washer</t>
  </si>
  <si>
    <t>Home Improvement</t>
  </si>
  <si>
    <t>Pasta Portion Control Measure</t>
  </si>
  <si>
    <t>Fettuccine Alfredo Dinner Kit</t>
  </si>
  <si>
    <t>Frozen Broccoli</t>
  </si>
  <si>
    <t>Teriyaki Chicken Stir-Fry</t>
  </si>
  <si>
    <t>Sliced Provolone Cheese</t>
  </si>
  <si>
    <t>Low-Fat Cottage Cheese</t>
  </si>
  <si>
    <t>Brown Rice</t>
  </si>
  <si>
    <t>Pasta Primavera</t>
  </si>
  <si>
    <t>Rechargeable Laptop Battery Pack</t>
  </si>
  <si>
    <t>Natural Soy Candles</t>
  </si>
  <si>
    <t>Organic Coconut Flour</t>
  </si>
  <si>
    <t>Vegan Chocolate Cake Mix</t>
  </si>
  <si>
    <t>Multi-Purpose Plant Care Tool</t>
  </si>
  <si>
    <t>Camping Lantern</t>
  </si>
  <si>
    <t>Veggie Lovers Pizza</t>
  </si>
  <si>
    <t>USB-C Hub</t>
  </si>
  <si>
    <t>Computers</t>
  </si>
  <si>
    <t>Sesame Noodles</t>
  </si>
  <si>
    <t>Food - Grab-and-Go</t>
  </si>
  <si>
    <t>Zucchini</t>
  </si>
  <si>
    <t>Honey Sesame Cashews</t>
  </si>
  <si>
    <t>Stuffed Peppers with Quinoa</t>
  </si>
  <si>
    <t>Cooking Utensil Set</t>
  </si>
  <si>
    <t>Frozen Berry Blend</t>
  </si>
  <si>
    <t>Compact Portable Grill</t>
  </si>
  <si>
    <t>Garlic Herb Seasoning</t>
  </si>
  <si>
    <t>Food - Spices</t>
  </si>
  <si>
    <t>Feta Cheese Crumbles</t>
  </si>
  <si>
    <t>Pressure Cooker</t>
  </si>
  <si>
    <t>Roasted Garlic</t>
  </si>
  <si>
    <t>Lemon Basil Pasta Sauce</t>
  </si>
  <si>
    <t>Food - Sauces</t>
  </si>
  <si>
    <t>Non-Stick Grill Pan</t>
  </si>
  <si>
    <t>Sliced Ham</t>
  </si>
  <si>
    <t>Herbal Garden Starter Kit</t>
  </si>
  <si>
    <t>Garden Tool Belt</t>
  </si>
  <si>
    <t>Chic Ankle Strap Heels</t>
  </si>
  <si>
    <t>Spicy BBQ Sauce</t>
  </si>
  <si>
    <t>Ginger Turmeric Shots</t>
  </si>
  <si>
    <t>Honey Garlic Sauce</t>
  </si>
  <si>
    <t>Travel Beach Blanket</t>
  </si>
  <si>
    <t>Sweet Cherry Tomatoes</t>
  </si>
  <si>
    <t>Classic Black Dress</t>
  </si>
  <si>
    <t>Thyme</t>
  </si>
  <si>
    <t>Food - Fresh Produce</t>
  </si>
  <si>
    <t>Wooden Blocks</t>
  </si>
  <si>
    <t>Utility Cargo Pants</t>
  </si>
  <si>
    <t>Clothing - Pants</t>
  </si>
  <si>
    <t>Portable Charcoal Grill</t>
  </si>
  <si>
    <t>Savory Rice Cakes</t>
  </si>
  <si>
    <t>Smartphone Tripod with Bluetooth Remote</t>
  </si>
  <si>
    <t>LED Strip Lights with Remote Control</t>
  </si>
  <si>
    <t>Ranch Dressing</t>
  </si>
  <si>
    <t>Wire Shelving Unit</t>
  </si>
  <si>
    <t>Cinnamon Raisin Bread</t>
  </si>
  <si>
    <t>Chicken Fajita Kit</t>
  </si>
  <si>
    <t>Food - Prepared Foods</t>
  </si>
  <si>
    <t>Non-Slip Yoga Socks</t>
  </si>
  <si>
    <t>Balsamic Salad Dressing</t>
  </si>
  <si>
    <t>Food - Deli</t>
  </si>
  <si>
    <t>Garlic and Herb Rub</t>
  </si>
  <si>
    <t>Compressible Packing Cubes</t>
  </si>
  <si>
    <t>Travel</t>
  </si>
  <si>
    <t>Outdoor Folding Table</t>
  </si>
  <si>
    <t>Mini Food Processor</t>
  </si>
  <si>
    <t>Magnetic Puzzle Board</t>
  </si>
  <si>
    <t>Garlic Herb Cream Cheese</t>
  </si>
  <si>
    <t>Stuffed Bell Peppers</t>
  </si>
  <si>
    <t>Cinnamon Rolls</t>
  </si>
  <si>
    <t>Buttermilk Pancakes</t>
  </si>
  <si>
    <t>LED Under Cabinet Lighting</t>
  </si>
  <si>
    <t>Peanut Butter Pretzel Nuggets</t>
  </si>
  <si>
    <t>Honey Sesame Chicken Mix</t>
  </si>
  <si>
    <t>Pumpkin Spice Cookies</t>
  </si>
  <si>
    <t>Honey Mustard Pretzel Bites</t>
  </si>
  <si>
    <t>Adjustable Laptop Stand</t>
  </si>
  <si>
    <t>Ceramic Knife Set</t>
  </si>
  <si>
    <t>Sriracha Honey Glaze</t>
  </si>
  <si>
    <t>Gardening Kneeler and Seat</t>
  </si>
  <si>
    <t>Self-Stirring Mug</t>
  </si>
  <si>
    <t>Portable Phone Mug Holder</t>
  </si>
  <si>
    <t>Tuscan Bean Soup</t>
  </si>
  <si>
    <t>Fridge Magnet Set</t>
  </si>
  <si>
    <t>Beef Stew Meat</t>
  </si>
  <si>
    <t>Coconut Yogurt</t>
  </si>
  <si>
    <t>Food - Dairy Alternatives</t>
  </si>
  <si>
    <t>Chia Seed Pudding</t>
  </si>
  <si>
    <t>Rechargeable Hand Warmer</t>
  </si>
  <si>
    <t>Eco-Friendly Stainless Steel Straws</t>
  </si>
  <si>
    <t>Honey</t>
  </si>
  <si>
    <t>Portable Hand Warmer</t>
  </si>
  <si>
    <t>Peach Mango Smoothie Mix</t>
  </si>
  <si>
    <t>Wild Rice &amp; Quinoa Mix</t>
  </si>
  <si>
    <t>Wireless Earbud Silicone Covers</t>
  </si>
  <si>
    <t>Spinach Artichoke Dip</t>
  </si>
  <si>
    <t>Wireless Car Charger</t>
  </si>
  <si>
    <t>Sporty Slide Sandals</t>
  </si>
  <si>
    <t>Fresh Basil Pesto</t>
  </si>
  <si>
    <t>Blue Denim Jeans</t>
  </si>
  <si>
    <t>Fall-Themed Table Runner</t>
  </si>
  <si>
    <t>Winter Insulated Jacket</t>
  </si>
  <si>
    <t>Siphon Coffee Maker</t>
  </si>
  <si>
    <t>Robot Vacuum Cleaner</t>
  </si>
  <si>
    <t>Honey BBQ Ribs</t>
  </si>
  <si>
    <t>Home Delivery Food Journal</t>
  </si>
  <si>
    <t>Compact Umbrella</t>
  </si>
  <si>
    <t>Travel Orthopedic Pillow</t>
  </si>
  <si>
    <t>Classic Cheeseburger Mix</t>
  </si>
  <si>
    <t>Food - Meats</t>
  </si>
  <si>
    <t>Sun Protection Clothing</t>
  </si>
  <si>
    <t>Tea Infuser Bottle</t>
  </si>
  <si>
    <t>Gluten-Free Biscuits</t>
  </si>
  <si>
    <t>Travel Eye Mask with Ear Plugs</t>
  </si>
  <si>
    <t>Non-Stick Crepe Pan</t>
  </si>
  <si>
    <t>Kids' Dinosaur-Themed Lunchbox</t>
  </si>
  <si>
    <t>Solar Garden Lights</t>
  </si>
  <si>
    <t>Pet Grooming Glove</t>
  </si>
  <si>
    <t>Wrist Support Brace</t>
  </si>
  <si>
    <t>Beef Stroganoff Mix</t>
  </si>
  <si>
    <t>Food - Meal Kits</t>
  </si>
  <si>
    <t>Watering Can with Nozzle</t>
  </si>
  <si>
    <t>Caribbean Jerk Marinade</t>
  </si>
  <si>
    <t>Food - Marinades</t>
  </si>
  <si>
    <t>Crispy Potato Tots</t>
  </si>
  <si>
    <t>Pet Travel Carrier</t>
  </si>
  <si>
    <t>Biodegradable Trash Bags</t>
  </si>
  <si>
    <t>Pomegranate Juice</t>
  </si>
  <si>
    <t>Smartphone Gimbal</t>
  </si>
  <si>
    <t>Cauliflower Crust Pizza</t>
  </si>
  <si>
    <t>Food - Freezer</t>
  </si>
  <si>
    <t>Electric Can Opener</t>
  </si>
  <si>
    <t>Ceramic Non-Stick Frying Pan</t>
  </si>
  <si>
    <t>Microwave Popcorn Maker</t>
  </si>
  <si>
    <t>Herbed Goat Cheese</t>
  </si>
  <si>
    <t>Food - Cheese</t>
  </si>
  <si>
    <t>Crispy Tofu Bites</t>
  </si>
  <si>
    <t>Food - Protein</t>
  </si>
  <si>
    <t>Indoor Grill</t>
  </si>
  <si>
    <t>Jasmine Rice</t>
  </si>
  <si>
    <t>Portable UV Sterilizer</t>
  </si>
  <si>
    <t>Karaoke Microphone</t>
  </si>
  <si>
    <t>Music</t>
  </si>
  <si>
    <t>LED Desk Light</t>
  </si>
  <si>
    <t>Soft Plush Throw Blanket</t>
  </si>
  <si>
    <t>Chopping Board</t>
  </si>
  <si>
    <t>Oven-Baked Potato Chips</t>
  </si>
  <si>
    <t>Stick Vacuums Cleaner</t>
  </si>
  <si>
    <t>Adjustable Stand for Tablets and Smartphones</t>
  </si>
  <si>
    <t>Thai Coconut Curry Sauce</t>
  </si>
  <si>
    <t>Pumpkin Puree</t>
  </si>
  <si>
    <t>Coconut Macaroons</t>
  </si>
  <si>
    <t>Food - Confectionery</t>
  </si>
  <si>
    <t>Pepperoni Pizza Roll-Ups</t>
  </si>
  <si>
    <t>Vegan Alfredo Sauce</t>
  </si>
  <si>
    <t>Stainless Steel Water Pitcher</t>
  </si>
  <si>
    <t>Salsa Verde</t>
  </si>
  <si>
    <t>Non-Stick Grill Mat</t>
  </si>
  <si>
    <t>Garden Hoses with Expandable Features</t>
  </si>
  <si>
    <t>Compact Electric Kettle</t>
  </si>
  <si>
    <t>Fishing Rod</t>
  </si>
  <si>
    <t>Pet Caress Brush</t>
  </si>
  <si>
    <t>Fitness Jump Box</t>
  </si>
  <si>
    <t>Nature Explorer Lens Kit</t>
  </si>
  <si>
    <t>Pepperoni Pizza Rolls</t>
  </si>
  <si>
    <t>Cable Knit Beanie</t>
  </si>
  <si>
    <t>Peach &amp; Mango Salsa</t>
  </si>
  <si>
    <t>Pistachios</t>
  </si>
  <si>
    <t>Thai Green Curry Paste</t>
  </si>
  <si>
    <t>Marinated Artichokes</t>
  </si>
  <si>
    <t>Food - Vegetables</t>
  </si>
  <si>
    <t>Cucumber</t>
  </si>
  <si>
    <t>Summer Tank Dress</t>
  </si>
  <si>
    <t>Organic Tomato Ketchup</t>
  </si>
  <si>
    <t>Rain Jacket</t>
  </si>
  <si>
    <t>Shoe Organizer</t>
  </si>
  <si>
    <t>Whole Grain Mustard</t>
  </si>
  <si>
    <t>Italian Sausage and Peppers</t>
  </si>
  <si>
    <t>Pepper Jack Cheese Slices</t>
  </si>
  <si>
    <t>Chicken Broth</t>
  </si>
  <si>
    <t>Breezy Off-The-Shoulder Top</t>
  </si>
  <si>
    <t>Watercolor Brush Pens</t>
  </si>
  <si>
    <t>Cacao Nibs</t>
  </si>
  <si>
    <t>Kale Chips</t>
  </si>
  <si>
    <t>Kitchen Scale</t>
  </si>
  <si>
    <t>Teriyaki Chicken Bowl</t>
  </si>
  <si>
    <t>Zesty Garlic Marinade</t>
  </si>
  <si>
    <t>Self-Cleaning Water Bottle</t>
  </si>
  <si>
    <t>Outdoor Portable Fire Pit</t>
  </si>
  <si>
    <t>Graphic Tee</t>
  </si>
  <si>
    <t>Chickpea Salad Deluxe</t>
  </si>
  <si>
    <t>Hot Dog Buns</t>
  </si>
  <si>
    <t>Herbed Mushroom Risotto</t>
  </si>
  <si>
    <t>Canned Black Beans</t>
  </si>
  <si>
    <t>Handheld Garment Steamer</t>
  </si>
  <si>
    <t>Acoustic Guitar</t>
  </si>
  <si>
    <t>Cold Brew Coffee Maker</t>
  </si>
  <si>
    <t>Cocktail Shaker Set</t>
  </si>
  <si>
    <t>Wall Art Stickers</t>
  </si>
  <si>
    <t>Organic Coconut Oil</t>
  </si>
  <si>
    <t>Food - Oils</t>
  </si>
  <si>
    <t>Vegetable Stir-Fry Sauce</t>
  </si>
  <si>
    <t>Beef Stroganoff Meal Kit</t>
  </si>
  <si>
    <t>Saffron Rice Mix</t>
  </si>
  <si>
    <t>Sports Bottle</t>
  </si>
  <si>
    <t>Smart WiFi Plug</t>
  </si>
  <si>
    <t>Mechanical Pencil Set</t>
  </si>
  <si>
    <t>LED Desk Lamp with USB Charging Port</t>
  </si>
  <si>
    <t>Mixed Berry Smoothie Pack</t>
  </si>
  <si>
    <t>Food - Frozen Food</t>
  </si>
  <si>
    <t>Magnetic Screen Door</t>
  </si>
  <si>
    <t>Lemon Sorbet</t>
  </si>
  <si>
    <t>Butternut Squash Soup</t>
  </si>
  <si>
    <t>Food - Soups</t>
  </si>
  <si>
    <t>Chocolate Protein Powder</t>
  </si>
  <si>
    <t>Food - Supplements</t>
  </si>
  <si>
    <t>Slingback Sandals</t>
  </si>
  <si>
    <t>Dog Training Clicker</t>
  </si>
  <si>
    <t>Sweetened Condensed Milk</t>
  </si>
  <si>
    <t>Honeycrisp Apple Chips</t>
  </si>
  <si>
    <t>Chunky Knit Sweater</t>
  </si>
  <si>
    <t>Italian Meatballs</t>
  </si>
  <si>
    <t>Black Bean Soup</t>
  </si>
  <si>
    <t>Handheld Shower Head</t>
  </si>
  <si>
    <t>Bathroom</t>
  </si>
  <si>
    <t>Honey Sriracha Chicken Bites</t>
  </si>
  <si>
    <t>Chickpea Pasta</t>
  </si>
  <si>
    <t>Food - Pasta</t>
  </si>
  <si>
    <t>Quinoa Salad</t>
  </si>
  <si>
    <t>Coconut Curry Lentil Soup</t>
  </si>
  <si>
    <t>Non-Stick Baking Sheet</t>
  </si>
  <si>
    <t>Fruit Infuser Water Bottle</t>
  </si>
  <si>
    <t>Pressure Washer Accessories Kit</t>
  </si>
  <si>
    <t>Electric Rice Cooker with Steamer</t>
  </si>
  <si>
    <t>Sliced Turkey Breast</t>
  </si>
  <si>
    <t>Food - Deli Meats</t>
  </si>
  <si>
    <t>Sooji (Semolina)</t>
  </si>
  <si>
    <t>Ginger Turmeric Latte Mix</t>
  </si>
  <si>
    <t>Sweet Potato Mash</t>
  </si>
  <si>
    <t>Silicone Baking Mat</t>
  </si>
  <si>
    <t>USB Desk Fan</t>
  </si>
  <si>
    <t>Vanilla Almond Granola</t>
  </si>
  <si>
    <t>Puffed Rice Cake</t>
  </si>
  <si>
    <t>Pecan Pie Filling</t>
  </si>
  <si>
    <t>Vegan Protein Powder</t>
  </si>
  <si>
    <t>Safety First Aid Kit</t>
  </si>
  <si>
    <t>Pet Safety Belt for Car</t>
  </si>
  <si>
    <t>Baking Soda</t>
  </si>
  <si>
    <t>Peanut Butter Cookies</t>
  </si>
  <si>
    <t>Coconut Cream</t>
  </si>
  <si>
    <t>Food - Baking &amp; Cooking</t>
  </si>
  <si>
    <t>Roasted Red Pepper Dip</t>
  </si>
  <si>
    <t>Denim Jacket</t>
  </si>
  <si>
    <t>Clothing - Outerwear</t>
  </si>
  <si>
    <t>Heavy Duty Gardening Tool Set</t>
  </si>
  <si>
    <t>Cinnamon Ice Cream</t>
  </si>
  <si>
    <t>Lemon Garlic Marinade</t>
  </si>
  <si>
    <t>Vegetable Sushi Rolls</t>
  </si>
  <si>
    <t>Cranberry Almond Granola</t>
  </si>
  <si>
    <t>Grass Fed Beef Patties</t>
  </si>
  <si>
    <t>Microfiber Cleaning Cloths</t>
  </si>
  <si>
    <t>Paprika</t>
  </si>
  <si>
    <t>Mesh Laundry Bags Set</t>
  </si>
  <si>
    <t>Weighted Jump Rope</t>
  </si>
  <si>
    <t>Pet Hair Removal Brush</t>
  </si>
  <si>
    <t>Cinnamon Sugar Popcorn</t>
  </si>
  <si>
    <t>Pasta Sauce Mix</t>
  </si>
  <si>
    <t>Men's Waterproof Hiking Boots</t>
  </si>
  <si>
    <t>Granola</t>
  </si>
  <si>
    <t>Portable Solar Charger</t>
  </si>
  <si>
    <t>Buffalo Chicken Dip</t>
  </si>
  <si>
    <t>Brownie Bites</t>
  </si>
  <si>
    <t>Chocolate Hazelnut Granola</t>
  </si>
  <si>
    <t>total value</t>
  </si>
  <si>
    <t>MIS SUMMARY</t>
  </si>
  <si>
    <t>TOTSL VALUE</t>
  </si>
  <si>
    <t>AVG QTY</t>
  </si>
  <si>
    <t>TOTAL BRAND</t>
  </si>
  <si>
    <t>TOTAL CATEGORY</t>
  </si>
  <si>
    <t>Row Labels</t>
  </si>
  <si>
    <t>Grand Total</t>
  </si>
  <si>
    <t>Sum of total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</si>
</sst>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33" borderId="0" xfId="0" applyFont="1" applyFill="1" applyAlignment="1">
      <alignment horizontal="center"/>
    </xf>
    <xf numFmtId="0" fontId="19" fillId="0" borderId="0" xfId="0" applyFont="1" applyAlignment="1">
      <alignment horizontal="center" vertical="center"/>
    </xf>
    <xf numFmtId="0" fontId="0" fillId="34" borderId="0" xfId="0"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2"/>
        <color theme="1"/>
        <name val="Aptos Narrow"/>
        <family val="2"/>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[Amazon_Sales_Dashboard.xlsx]category!PivotTable2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category!$A$2:$A$7</c:f>
              <c:strCache>
                <c:ptCount val="5"/>
                <c:pt idx="0">
                  <c:v>books</c:v>
                </c:pt>
                <c:pt idx="1">
                  <c:v>clothing</c:v>
                </c:pt>
                <c:pt idx="2">
                  <c:v>electronics</c:v>
                </c:pt>
                <c:pt idx="3">
                  <c:v>home goods</c:v>
                </c:pt>
                <c:pt idx="4">
                  <c:v>toys</c:v>
                </c:pt>
              </c:strCache>
            </c:strRef>
          </c:cat>
          <c:val>
            <c:numRef>
              <c:f>category!$B$2:$B$7</c:f>
              <c:numCache>
                <c:formatCode>General</c:formatCode>
                <c:ptCount val="5"/>
                <c:pt idx="0">
                  <c:v>24630578.170000002</c:v>
                </c:pt>
                <c:pt idx="1">
                  <c:v>19542568.369999994</c:v>
                </c:pt>
                <c:pt idx="2">
                  <c:v>24339183.259999998</c:v>
                </c:pt>
                <c:pt idx="3">
                  <c:v>24133792.220000006</c:v>
                </c:pt>
                <c:pt idx="4">
                  <c:v>23133756.900000002</c:v>
                </c:pt>
              </c:numCache>
            </c:numRef>
          </c:val>
          <c:extLst>
            <c:ext xmlns:c16="http://schemas.microsoft.com/office/drawing/2014/chart" uri="{C3380CC4-5D6E-409C-BE32-E72D297353CC}">
              <c16:uniqueId val="{00000000-BD3E-4AB5-8554-F01C5A6A65C1}"/>
            </c:ext>
          </c:extLst>
        </c:ser>
        <c:dLbls>
          <c:dLblPos val="inEnd"/>
          <c:showLegendKey val="0"/>
          <c:showVal val="1"/>
          <c:showCatName val="0"/>
          <c:showSerName val="0"/>
          <c:showPercent val="0"/>
          <c:showBubbleSize val="0"/>
        </c:dLbls>
        <c:gapWidth val="41"/>
        <c:axId val="782682464"/>
        <c:axId val="785908096"/>
      </c:barChart>
      <c:catAx>
        <c:axId val="782682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85908096"/>
        <c:crosses val="autoZero"/>
        <c:auto val="1"/>
        <c:lblAlgn val="ctr"/>
        <c:lblOffset val="100"/>
        <c:noMultiLvlLbl val="0"/>
      </c:catAx>
      <c:valAx>
        <c:axId val="785908096"/>
        <c:scaling>
          <c:orientation val="minMax"/>
        </c:scaling>
        <c:delete val="1"/>
        <c:axPos val="l"/>
        <c:numFmt formatCode="General" sourceLinked="1"/>
        <c:majorTickMark val="none"/>
        <c:minorTickMark val="none"/>
        <c:tickLblPos val="nextTo"/>
        <c:crossAx val="78268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[Amazon_Sales_Dashboard.xlsx]top 10 product!PivotTable1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product'!$B$3</c:f>
              <c:strCache>
                <c:ptCount val="1"/>
                <c:pt idx="0">
                  <c:v>Total</c:v>
                </c:pt>
              </c:strCache>
            </c:strRef>
          </c:tx>
          <c:spPr>
            <a:ln w="28575" cap="rnd">
              <a:solidFill>
                <a:schemeClr val="accent1"/>
              </a:solidFill>
              <a:round/>
            </a:ln>
            <a:effectLst/>
          </c:spPr>
          <c:marker>
            <c:symbol val="none"/>
          </c:marker>
          <c:cat>
            <c:strRef>
              <c:f>'top 10 product'!$A$4:$A$14</c:f>
              <c:strCache>
                <c:ptCount val="10"/>
                <c:pt idx="0">
                  <c:v>Californian Raisins</c:v>
                </c:pt>
                <c:pt idx="1">
                  <c:v>Chic Ankle Strap Heels</c:v>
                </c:pt>
                <c:pt idx="2">
                  <c:v>Chickpea Pancakes</c:v>
                </c:pt>
                <c:pt idx="3">
                  <c:v>Eco-Friendly Stainless Steel Straws</c:v>
                </c:pt>
                <c:pt idx="4">
                  <c:v>LED Canopy Lights</c:v>
                </c:pt>
                <c:pt idx="5">
                  <c:v>Multifunctional Pocket Tool</c:v>
                </c:pt>
                <c:pt idx="6">
                  <c:v>Portable Charger with Solar Panel</c:v>
                </c:pt>
                <c:pt idx="7">
                  <c:v>Spicy Garlic Edamame</c:v>
                </c:pt>
                <c:pt idx="8">
                  <c:v>Vegetable Lentil Soup</c:v>
                </c:pt>
                <c:pt idx="9">
                  <c:v>Vegetable Sushi Rolls</c:v>
                </c:pt>
              </c:strCache>
            </c:strRef>
          </c:cat>
          <c:val>
            <c:numRef>
              <c:f>'top 10 product'!$B$4:$B$14</c:f>
              <c:numCache>
                <c:formatCode>General</c:formatCode>
                <c:ptCount val="10"/>
                <c:pt idx="0">
                  <c:v>982355.10000000009</c:v>
                </c:pt>
                <c:pt idx="1">
                  <c:v>993022.02</c:v>
                </c:pt>
                <c:pt idx="2">
                  <c:v>978581.64</c:v>
                </c:pt>
                <c:pt idx="3">
                  <c:v>1002200.14</c:v>
                </c:pt>
                <c:pt idx="4">
                  <c:v>954037.32999999984</c:v>
                </c:pt>
                <c:pt idx="5">
                  <c:v>1267061.97</c:v>
                </c:pt>
                <c:pt idx="6">
                  <c:v>936117</c:v>
                </c:pt>
                <c:pt idx="7">
                  <c:v>1182457.77</c:v>
                </c:pt>
                <c:pt idx="8">
                  <c:v>1707202.83</c:v>
                </c:pt>
                <c:pt idx="9">
                  <c:v>978746.88</c:v>
                </c:pt>
              </c:numCache>
            </c:numRef>
          </c:val>
          <c:smooth val="0"/>
          <c:extLst>
            <c:ext xmlns:c16="http://schemas.microsoft.com/office/drawing/2014/chart" uri="{C3380CC4-5D6E-409C-BE32-E72D297353CC}">
              <c16:uniqueId val="{00000000-3A57-4919-9532-03A9A1C4E4CC}"/>
            </c:ext>
          </c:extLst>
        </c:ser>
        <c:dLbls>
          <c:showLegendKey val="0"/>
          <c:showVal val="0"/>
          <c:showCatName val="0"/>
          <c:showSerName val="0"/>
          <c:showPercent val="0"/>
          <c:showBubbleSize val="0"/>
        </c:dLbls>
        <c:smooth val="0"/>
        <c:axId val="782426448"/>
        <c:axId val="785900896"/>
      </c:lineChart>
      <c:catAx>
        <c:axId val="7824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00896"/>
        <c:crosses val="autoZero"/>
        <c:auto val="1"/>
        <c:lblAlgn val="ctr"/>
        <c:lblOffset val="100"/>
        <c:noMultiLvlLbl val="0"/>
      </c:catAx>
      <c:valAx>
        <c:axId val="78590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2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[Amazon_Sales_Dashboard.xlsx]top 10 brand!PivotTable3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1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1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18"/>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9"/>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pivotFmt>
      <c:pivotFmt>
        <c:idx val="2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pivotFmt>
      <c:pivotFmt>
        <c:idx val="21"/>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pivotFmt>
      <c:pivotFmt>
        <c:idx val="22"/>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pivotFmt>
    </c:pivotFmts>
    <c:plotArea>
      <c:layout/>
      <c:pieChart>
        <c:varyColors val="1"/>
        <c:ser>
          <c:idx val="0"/>
          <c:order val="0"/>
          <c:tx>
            <c:strRef>
              <c:f>'top 10 brand'!$B$1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A24-4E1A-862D-E74E0D6D4E0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A24-4E1A-862D-E74E0D6D4E0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A24-4E1A-862D-E74E0D6D4E0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A24-4E1A-862D-E74E0D6D4E0A}"/>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0A24-4E1A-862D-E74E0D6D4E0A}"/>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0A24-4E1A-862D-E74E0D6D4E0A}"/>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0A24-4E1A-862D-E74E0D6D4E0A}"/>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0A24-4E1A-862D-E74E0D6D4E0A}"/>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0A24-4E1A-862D-E74E0D6D4E0A}"/>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0A24-4E1A-862D-E74E0D6D4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10 brand'!$A$2:$A$12</c:f>
              <c:strCache>
                <c:ptCount val="10"/>
                <c:pt idx="0">
                  <c:v>Accessories</c:v>
                </c:pt>
                <c:pt idx="1">
                  <c:v>Food - Canned Goods</c:v>
                </c:pt>
                <c:pt idx="2">
                  <c:v>Food - Condiments</c:v>
                </c:pt>
                <c:pt idx="3">
                  <c:v>Food - Frozen Foods</c:v>
                </c:pt>
                <c:pt idx="4">
                  <c:v>Food - Meat</c:v>
                </c:pt>
                <c:pt idx="5">
                  <c:v>Food - Snacks</c:v>
                </c:pt>
                <c:pt idx="6">
                  <c:v>Health</c:v>
                </c:pt>
                <c:pt idx="7">
                  <c:v>Home</c:v>
                </c:pt>
                <c:pt idx="8">
                  <c:v>Kitchen</c:v>
                </c:pt>
                <c:pt idx="9">
                  <c:v>Outdoor</c:v>
                </c:pt>
              </c:strCache>
            </c:strRef>
          </c:cat>
          <c:val>
            <c:numRef>
              <c:f>'top 10 brand'!$B$2:$B$12</c:f>
              <c:numCache>
                <c:formatCode>General</c:formatCode>
                <c:ptCount val="10"/>
                <c:pt idx="0">
                  <c:v>3099268.43</c:v>
                </c:pt>
                <c:pt idx="1">
                  <c:v>3463776.53</c:v>
                </c:pt>
                <c:pt idx="2">
                  <c:v>5795101.75</c:v>
                </c:pt>
                <c:pt idx="3">
                  <c:v>3834910.5300000003</c:v>
                </c:pt>
                <c:pt idx="4">
                  <c:v>3117763.87</c:v>
                </c:pt>
                <c:pt idx="5">
                  <c:v>7771074.5500000007</c:v>
                </c:pt>
                <c:pt idx="6">
                  <c:v>3322279.0700000003</c:v>
                </c:pt>
                <c:pt idx="7">
                  <c:v>7422417.919999999</c:v>
                </c:pt>
                <c:pt idx="8">
                  <c:v>11154676.57</c:v>
                </c:pt>
                <c:pt idx="9">
                  <c:v>3256209.7899999996</c:v>
                </c:pt>
              </c:numCache>
            </c:numRef>
          </c:val>
          <c:extLst>
            <c:ext xmlns:c16="http://schemas.microsoft.com/office/drawing/2014/chart" uri="{C3380CC4-5D6E-409C-BE32-E72D297353CC}">
              <c16:uniqueId val="{00000014-0A24-4E1A-862D-E74E0D6D4E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23178</xdr:colOff>
      <xdr:row>0</xdr:row>
      <xdr:rowOff>19050</xdr:rowOff>
    </xdr:from>
    <xdr:to>
      <xdr:col>2</xdr:col>
      <xdr:colOff>110173</xdr:colOff>
      <xdr:row>3</xdr:row>
      <xdr:rowOff>114300</xdr:rowOff>
    </xdr:to>
    <xdr:sp macro="" textlink="'mis summary'!B3">
      <xdr:nvSpPr>
        <xdr:cNvPr id="2" name="Rectangle 1">
          <a:extLst>
            <a:ext uri="{FF2B5EF4-FFF2-40B4-BE49-F238E27FC236}">
              <a16:creationId xmlns:a16="http://schemas.microsoft.com/office/drawing/2014/main" id="{CBA53411-4189-9611-FB08-E7DFC25F1127}"/>
            </a:ext>
          </a:extLst>
        </xdr:cNvPr>
        <xdr:cNvSpPr/>
      </xdr:nvSpPr>
      <xdr:spPr>
        <a:xfrm>
          <a:off x="23178" y="19050"/>
          <a:ext cx="1306195" cy="6477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F7E0967-5369-4293-853D-AC529AB6EF52}" type="TxLink">
            <a:rPr lang="en-US" sz="1400" b="1" i="0" u="none" strike="noStrike">
              <a:solidFill>
                <a:srgbClr val="000000"/>
              </a:solidFill>
              <a:latin typeface="Aptos Narrow"/>
            </a:rPr>
            <a:pPr algn="ctr"/>
            <a:t>115779878.9</a:t>
          </a:fld>
          <a:endParaRPr lang="en-IN" sz="1400" b="1"/>
        </a:p>
      </xdr:txBody>
    </xdr:sp>
    <xdr:clientData/>
  </xdr:twoCellAnchor>
  <xdr:twoCellAnchor>
    <xdr:from>
      <xdr:col>2</xdr:col>
      <xdr:colOff>245428</xdr:colOff>
      <xdr:row>0</xdr:row>
      <xdr:rowOff>6350</xdr:rowOff>
    </xdr:from>
    <xdr:to>
      <xdr:col>4</xdr:col>
      <xdr:colOff>332423</xdr:colOff>
      <xdr:row>3</xdr:row>
      <xdr:rowOff>101600</xdr:rowOff>
    </xdr:to>
    <xdr:sp macro="" textlink="'mis summary'!B4">
      <xdr:nvSpPr>
        <xdr:cNvPr id="3" name="Rectangle 2">
          <a:extLst>
            <a:ext uri="{FF2B5EF4-FFF2-40B4-BE49-F238E27FC236}">
              <a16:creationId xmlns:a16="http://schemas.microsoft.com/office/drawing/2014/main" id="{4E311F1C-E994-6140-EB11-EC963559D473}"/>
            </a:ext>
          </a:extLst>
        </xdr:cNvPr>
        <xdr:cNvSpPr/>
      </xdr:nvSpPr>
      <xdr:spPr>
        <a:xfrm>
          <a:off x="1464628" y="6350"/>
          <a:ext cx="1306195" cy="6477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64FD9F2-B946-46CB-8318-6F1A179CF504}" type="TxLink">
            <a:rPr lang="en-US" sz="1600" b="1" i="0" u="none" strike="noStrike">
              <a:solidFill>
                <a:srgbClr val="000000"/>
              </a:solidFill>
              <a:latin typeface="Aptos Narrow"/>
            </a:rPr>
            <a:pPr algn="ctr"/>
            <a:t>489.28</a:t>
          </a:fld>
          <a:endParaRPr lang="en-IN" sz="1600" b="1"/>
        </a:p>
      </xdr:txBody>
    </xdr:sp>
    <xdr:clientData/>
  </xdr:twoCellAnchor>
  <xdr:twoCellAnchor>
    <xdr:from>
      <xdr:col>14</xdr:col>
      <xdr:colOff>220028</xdr:colOff>
      <xdr:row>0</xdr:row>
      <xdr:rowOff>44450</xdr:rowOff>
    </xdr:from>
    <xdr:to>
      <xdr:col>16</xdr:col>
      <xdr:colOff>307023</xdr:colOff>
      <xdr:row>3</xdr:row>
      <xdr:rowOff>139700</xdr:rowOff>
    </xdr:to>
    <xdr:sp macro="" textlink="'mis summary'!B5">
      <xdr:nvSpPr>
        <xdr:cNvPr id="4" name="Rectangle 3">
          <a:extLst>
            <a:ext uri="{FF2B5EF4-FFF2-40B4-BE49-F238E27FC236}">
              <a16:creationId xmlns:a16="http://schemas.microsoft.com/office/drawing/2014/main" id="{E7F7853B-D3E0-1527-746C-93A9F548E02F}"/>
            </a:ext>
          </a:extLst>
        </xdr:cNvPr>
        <xdr:cNvSpPr/>
      </xdr:nvSpPr>
      <xdr:spPr>
        <a:xfrm>
          <a:off x="8754428" y="44450"/>
          <a:ext cx="1306195" cy="6477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7CE957E-1CEF-436A-A344-F98D63C8F0F0}" type="TxLink">
            <a:rPr lang="en-US" sz="1400" b="1" i="0" u="none" strike="noStrike">
              <a:solidFill>
                <a:srgbClr val="000000"/>
              </a:solidFill>
              <a:latin typeface="Aptos Narrow"/>
            </a:rPr>
            <a:pPr algn="ctr"/>
            <a:t>90</a:t>
          </a:fld>
          <a:endParaRPr lang="en-IN" sz="1400" b="1"/>
        </a:p>
      </xdr:txBody>
    </xdr:sp>
    <xdr:clientData/>
  </xdr:twoCellAnchor>
  <xdr:twoCellAnchor>
    <xdr:from>
      <xdr:col>17</xdr:col>
      <xdr:colOff>54928</xdr:colOff>
      <xdr:row>0</xdr:row>
      <xdr:rowOff>31750</xdr:rowOff>
    </xdr:from>
    <xdr:to>
      <xdr:col>19</xdr:col>
      <xdr:colOff>141923</xdr:colOff>
      <xdr:row>3</xdr:row>
      <xdr:rowOff>127000</xdr:rowOff>
    </xdr:to>
    <xdr:sp macro="" textlink="'mis summary'!B6">
      <xdr:nvSpPr>
        <xdr:cNvPr id="5" name="Rectangle 4">
          <a:extLst>
            <a:ext uri="{FF2B5EF4-FFF2-40B4-BE49-F238E27FC236}">
              <a16:creationId xmlns:a16="http://schemas.microsoft.com/office/drawing/2014/main" id="{3659FA52-1832-5D4C-16AD-5B84B5A3EEE8}"/>
            </a:ext>
          </a:extLst>
        </xdr:cNvPr>
        <xdr:cNvSpPr/>
      </xdr:nvSpPr>
      <xdr:spPr>
        <a:xfrm>
          <a:off x="10418128" y="31750"/>
          <a:ext cx="1306195" cy="6477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FB63AF1-847A-4588-99AC-C44E5833F416}" type="TxLink">
            <a:rPr lang="en-US" sz="1800" b="1" i="0" u="none" strike="noStrike">
              <a:solidFill>
                <a:srgbClr val="000000"/>
              </a:solidFill>
              <a:latin typeface="Aptos Narrow"/>
            </a:rPr>
            <a:pPr algn="ctr"/>
            <a:t>5</a:t>
          </a:fld>
          <a:endParaRPr lang="en-IN" sz="1800" b="1"/>
        </a:p>
      </xdr:txBody>
    </xdr:sp>
    <xdr:clientData/>
  </xdr:twoCellAnchor>
  <xdr:twoCellAnchor>
    <xdr:from>
      <xdr:col>0</xdr:col>
      <xdr:colOff>95250</xdr:colOff>
      <xdr:row>0</xdr:row>
      <xdr:rowOff>69850</xdr:rowOff>
    </xdr:from>
    <xdr:to>
      <xdr:col>1</xdr:col>
      <xdr:colOff>603250</xdr:colOff>
      <xdr:row>2</xdr:row>
      <xdr:rowOff>0</xdr:rowOff>
    </xdr:to>
    <xdr:sp macro="" textlink="">
      <xdr:nvSpPr>
        <xdr:cNvPr id="7" name="Rectangle 6">
          <a:extLst>
            <a:ext uri="{FF2B5EF4-FFF2-40B4-BE49-F238E27FC236}">
              <a16:creationId xmlns:a16="http://schemas.microsoft.com/office/drawing/2014/main" id="{4C4B7A90-6338-99C2-B6B3-F77F7B28481B}"/>
            </a:ext>
          </a:extLst>
        </xdr:cNvPr>
        <xdr:cNvSpPr/>
      </xdr:nvSpPr>
      <xdr:spPr>
        <a:xfrm>
          <a:off x="95250" y="69850"/>
          <a:ext cx="1117600" cy="298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T</a:t>
          </a:r>
          <a:r>
            <a:rPr lang="en-IN" sz="1200" b="1">
              <a:solidFill>
                <a:schemeClr val="tx1"/>
              </a:solidFill>
            </a:rPr>
            <a:t>TOTAL</a:t>
          </a:r>
          <a:r>
            <a:rPr lang="en-IN" sz="1050" b="1">
              <a:solidFill>
                <a:schemeClr val="tx1"/>
              </a:solidFill>
            </a:rPr>
            <a:t> VALUE</a:t>
          </a:r>
          <a:endParaRPr lang="en-IN" sz="1050" b="1"/>
        </a:p>
      </xdr:txBody>
    </xdr:sp>
    <xdr:clientData/>
  </xdr:twoCellAnchor>
  <xdr:twoCellAnchor>
    <xdr:from>
      <xdr:col>2</xdr:col>
      <xdr:colOff>323850</xdr:colOff>
      <xdr:row>0</xdr:row>
      <xdr:rowOff>63500</xdr:rowOff>
    </xdr:from>
    <xdr:to>
      <xdr:col>4</xdr:col>
      <xdr:colOff>222250</xdr:colOff>
      <xdr:row>1</xdr:row>
      <xdr:rowOff>177800</xdr:rowOff>
    </xdr:to>
    <xdr:sp macro="" textlink="">
      <xdr:nvSpPr>
        <xdr:cNvPr id="8" name="Rectangle 7">
          <a:extLst>
            <a:ext uri="{FF2B5EF4-FFF2-40B4-BE49-F238E27FC236}">
              <a16:creationId xmlns:a16="http://schemas.microsoft.com/office/drawing/2014/main" id="{917085A6-75A6-6380-464A-6DA5805727E2}"/>
            </a:ext>
          </a:extLst>
        </xdr:cNvPr>
        <xdr:cNvSpPr/>
      </xdr:nvSpPr>
      <xdr:spPr>
        <a:xfrm>
          <a:off x="1543050" y="63500"/>
          <a:ext cx="1117600" cy="298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r>
            <a:rPr lang="en-IN" sz="1400" b="1">
              <a:solidFill>
                <a:schemeClr val="tx1"/>
              </a:solidFill>
            </a:rPr>
            <a:t>AVG</a:t>
          </a:r>
          <a:r>
            <a:rPr lang="en-IN" sz="1400" b="1" baseline="0">
              <a:solidFill>
                <a:schemeClr val="tx1"/>
              </a:solidFill>
            </a:rPr>
            <a:t> QTY</a:t>
          </a:r>
          <a:endParaRPr lang="en-IN" sz="1100" b="1"/>
        </a:p>
      </xdr:txBody>
    </xdr:sp>
    <xdr:clientData/>
  </xdr:twoCellAnchor>
  <xdr:twoCellAnchor>
    <xdr:from>
      <xdr:col>14</xdr:col>
      <xdr:colOff>317500</xdr:colOff>
      <xdr:row>0</xdr:row>
      <xdr:rowOff>76200</xdr:rowOff>
    </xdr:from>
    <xdr:to>
      <xdr:col>16</xdr:col>
      <xdr:colOff>215900</xdr:colOff>
      <xdr:row>2</xdr:row>
      <xdr:rowOff>6350</xdr:rowOff>
    </xdr:to>
    <xdr:sp macro="" textlink="">
      <xdr:nvSpPr>
        <xdr:cNvPr id="11" name="Rectangle 10">
          <a:extLst>
            <a:ext uri="{FF2B5EF4-FFF2-40B4-BE49-F238E27FC236}">
              <a16:creationId xmlns:a16="http://schemas.microsoft.com/office/drawing/2014/main" id="{1268D275-129B-0EE5-2420-8CA4525924C0}"/>
            </a:ext>
          </a:extLst>
        </xdr:cNvPr>
        <xdr:cNvSpPr/>
      </xdr:nvSpPr>
      <xdr:spPr>
        <a:xfrm>
          <a:off x="8851900" y="76200"/>
          <a:ext cx="1117600" cy="298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BRAND</a:t>
          </a:r>
        </a:p>
      </xdr:txBody>
    </xdr:sp>
    <xdr:clientData/>
  </xdr:twoCellAnchor>
  <xdr:twoCellAnchor>
    <xdr:from>
      <xdr:col>17</xdr:col>
      <xdr:colOff>139700</xdr:colOff>
      <xdr:row>0</xdr:row>
      <xdr:rowOff>69850</xdr:rowOff>
    </xdr:from>
    <xdr:to>
      <xdr:col>19</xdr:col>
      <xdr:colOff>38100</xdr:colOff>
      <xdr:row>2</xdr:row>
      <xdr:rowOff>0</xdr:rowOff>
    </xdr:to>
    <xdr:sp macro="" textlink="">
      <xdr:nvSpPr>
        <xdr:cNvPr id="13" name="Rectangle 12">
          <a:extLst>
            <a:ext uri="{FF2B5EF4-FFF2-40B4-BE49-F238E27FC236}">
              <a16:creationId xmlns:a16="http://schemas.microsoft.com/office/drawing/2014/main" id="{D031E58E-A6C6-EE3A-4F27-52088A4C508B}"/>
            </a:ext>
          </a:extLst>
        </xdr:cNvPr>
        <xdr:cNvSpPr/>
      </xdr:nvSpPr>
      <xdr:spPr>
        <a:xfrm>
          <a:off x="10502900" y="69850"/>
          <a:ext cx="1117600" cy="298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CATEGORY</a:t>
          </a:r>
        </a:p>
      </xdr:txBody>
    </xdr:sp>
    <xdr:clientData/>
  </xdr:twoCellAnchor>
  <xdr:twoCellAnchor>
    <xdr:from>
      <xdr:col>5</xdr:col>
      <xdr:colOff>107950</xdr:colOff>
      <xdr:row>0</xdr:row>
      <xdr:rowOff>38100</xdr:rowOff>
    </xdr:from>
    <xdr:to>
      <xdr:col>13</xdr:col>
      <xdr:colOff>425450</xdr:colOff>
      <xdr:row>3</xdr:row>
      <xdr:rowOff>101600</xdr:rowOff>
    </xdr:to>
    <xdr:sp macro="" textlink="">
      <xdr:nvSpPr>
        <xdr:cNvPr id="14" name="Rectangle 13">
          <a:extLst>
            <a:ext uri="{FF2B5EF4-FFF2-40B4-BE49-F238E27FC236}">
              <a16:creationId xmlns:a16="http://schemas.microsoft.com/office/drawing/2014/main" id="{F5B6D775-8B39-883C-D7FF-4C12230318D0}"/>
            </a:ext>
          </a:extLst>
        </xdr:cNvPr>
        <xdr:cNvSpPr/>
      </xdr:nvSpPr>
      <xdr:spPr>
        <a:xfrm>
          <a:off x="3155950" y="38100"/>
          <a:ext cx="5194300" cy="6159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AMAZON SALES</a:t>
          </a:r>
          <a:r>
            <a:rPr lang="en-IN" sz="3200" b="1" baseline="0">
              <a:solidFill>
                <a:schemeClr val="tx1"/>
              </a:solidFill>
            </a:rPr>
            <a:t> DASHBOARD</a:t>
          </a:r>
          <a:endParaRPr lang="en-IN" sz="3200" b="1">
            <a:solidFill>
              <a:schemeClr val="tx1"/>
            </a:solidFill>
          </a:endParaRPr>
        </a:p>
      </xdr:txBody>
    </xdr:sp>
    <xdr:clientData/>
  </xdr:twoCellAnchor>
  <xdr:twoCellAnchor>
    <xdr:from>
      <xdr:col>0</xdr:col>
      <xdr:colOff>63500</xdr:colOff>
      <xdr:row>4</xdr:row>
      <xdr:rowOff>12700</xdr:rowOff>
    </xdr:from>
    <xdr:to>
      <xdr:col>5</xdr:col>
      <xdr:colOff>590550</xdr:colOff>
      <xdr:row>16</xdr:row>
      <xdr:rowOff>88900</xdr:rowOff>
    </xdr:to>
    <xdr:graphicFrame macro="">
      <xdr:nvGraphicFramePr>
        <xdr:cNvPr id="15" name="Chart 14">
          <a:extLst>
            <a:ext uri="{FF2B5EF4-FFF2-40B4-BE49-F238E27FC236}">
              <a16:creationId xmlns:a16="http://schemas.microsoft.com/office/drawing/2014/main" id="{DA8EA00B-B8BB-49F1-9381-11A43F9EB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xdr:colOff>
      <xdr:row>4</xdr:row>
      <xdr:rowOff>31750</xdr:rowOff>
    </xdr:from>
    <xdr:to>
      <xdr:col>12</xdr:col>
      <xdr:colOff>590550</xdr:colOff>
      <xdr:row>16</xdr:row>
      <xdr:rowOff>57150</xdr:rowOff>
    </xdr:to>
    <xdr:graphicFrame macro="">
      <xdr:nvGraphicFramePr>
        <xdr:cNvPr id="18" name="Chart 17">
          <a:extLst>
            <a:ext uri="{FF2B5EF4-FFF2-40B4-BE49-F238E27FC236}">
              <a16:creationId xmlns:a16="http://schemas.microsoft.com/office/drawing/2014/main" id="{88B3121E-F53E-4249-BA6B-0F653CC02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57150</xdr:colOff>
      <xdr:row>4</xdr:row>
      <xdr:rowOff>38100</xdr:rowOff>
    </xdr:from>
    <xdr:to>
      <xdr:col>19</xdr:col>
      <xdr:colOff>63500</xdr:colOff>
      <xdr:row>16</xdr:row>
      <xdr:rowOff>63500</xdr:rowOff>
    </xdr:to>
    <xdr:graphicFrame macro="">
      <xdr:nvGraphicFramePr>
        <xdr:cNvPr id="19" name="Chart 18">
          <a:extLst>
            <a:ext uri="{FF2B5EF4-FFF2-40B4-BE49-F238E27FC236}">
              <a16:creationId xmlns:a16="http://schemas.microsoft.com/office/drawing/2014/main" id="{D8974453-ED91-43F3-A43F-C9AFC37EE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16</xdr:row>
      <xdr:rowOff>101600</xdr:rowOff>
    </xdr:from>
    <xdr:to>
      <xdr:col>7</xdr:col>
      <xdr:colOff>127000</xdr:colOff>
      <xdr:row>21</xdr:row>
      <xdr:rowOff>95250</xdr:rowOff>
    </xdr:to>
    <mc:AlternateContent xmlns:mc="http://schemas.openxmlformats.org/markup-compatibility/2006">
      <mc:Choice xmlns:a14="http://schemas.microsoft.com/office/drawing/2010/main" Requires="a14">
        <xdr:graphicFrame macro="">
          <xdr:nvGraphicFramePr>
            <xdr:cNvPr id="20" name="product_name">
              <a:extLst>
                <a:ext uri="{FF2B5EF4-FFF2-40B4-BE49-F238E27FC236}">
                  <a16:creationId xmlns:a16="http://schemas.microsoft.com/office/drawing/2014/main" id="{D03DBCB1-603B-49F4-9F64-B65ADAE2658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57150" y="3048000"/>
              <a:ext cx="433705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349250</xdr:colOff>
      <xdr:row>16</xdr:row>
      <xdr:rowOff>95250</xdr:rowOff>
    </xdr:from>
    <xdr:to>
      <xdr:col>12</xdr:col>
      <xdr:colOff>439400</xdr:colOff>
      <xdr:row>21</xdr:row>
      <xdr:rowOff>101600</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7AC0663D-5157-4E4E-A6C6-32E8179520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16450" y="3041650"/>
              <a:ext cx="313815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16</xdr:row>
      <xdr:rowOff>107950</xdr:rowOff>
    </xdr:from>
    <xdr:to>
      <xdr:col>18</xdr:col>
      <xdr:colOff>427576</xdr:colOff>
      <xdr:row>21</xdr:row>
      <xdr:rowOff>127000</xdr:rowOff>
    </xdr:to>
    <mc:AlternateContent xmlns:mc="http://schemas.openxmlformats.org/markup-compatibility/2006">
      <mc:Choice xmlns:a14="http://schemas.microsoft.com/office/drawing/2010/main" Requires="a14">
        <xdr:graphicFrame macro="">
          <xdr:nvGraphicFramePr>
            <xdr:cNvPr id="22" name="product_brand">
              <a:extLst>
                <a:ext uri="{FF2B5EF4-FFF2-40B4-BE49-F238E27FC236}">
                  <a16:creationId xmlns:a16="http://schemas.microsoft.com/office/drawing/2014/main" id="{EBF73C26-49B8-4C17-A66D-3E54EB90505C}"/>
                </a:ext>
              </a:extLst>
            </xdr:cNvPr>
            <xdr:cNvGraphicFramePr/>
          </xdr:nvGraphicFramePr>
          <xdr:xfrm>
            <a:off x="0" y="0"/>
            <a:ext cx="0" cy="0"/>
          </xdr:xfrm>
          <a:graphic>
            <a:graphicData uri="http://schemas.microsoft.com/office/drawing/2010/slicer">
              <sle:slicer xmlns:sle="http://schemas.microsoft.com/office/drawing/2010/slicer" name="product_brand"/>
            </a:graphicData>
          </a:graphic>
        </xdr:graphicFrame>
      </mc:Choice>
      <mc:Fallback>
        <xdr:sp macro="" textlink="">
          <xdr:nvSpPr>
            <xdr:cNvPr id="0" name=""/>
            <xdr:cNvSpPr>
              <a:spLocks noTextEdit="1"/>
            </xdr:cNvSpPr>
          </xdr:nvSpPr>
          <xdr:spPr>
            <a:xfrm>
              <a:off x="8553450" y="3054350"/>
              <a:ext cx="2846926"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6.488012037036" createdVersion="8" refreshedVersion="8" minRefreshableVersion="3" recordCount="500" xr:uid="{FD1FB080-235D-4957-BB94-9BC2DA54EAB9}">
  <cacheSource type="worksheet">
    <worksheetSource name="Table1"/>
  </cacheSource>
  <cacheFields count="6">
    <cacheField name="product_name" numFmtId="0">
      <sharedItems count="436">
        <s v="Sea Salt Caramel Popcorn"/>
        <s v="Sunglasses"/>
        <s v="Rainbow Veggie Chips"/>
        <s v="Gingerbread House Kit"/>
        <s v="Garlic Parmesan Roasted Nuts"/>
        <s v="Car Sunshade"/>
        <s v="Biodegradable Phone Case"/>
        <s v="Winter Knit Beanie"/>
        <s v="Maxi Wrap Dress"/>
        <s v="Sliced Cucumbers"/>
        <s v="High-Quality Yoga Block"/>
        <s v="Savory Mushroom Risotto"/>
        <s v="LED Flashlight with Rechargeable Batteries"/>
        <s v="Surimi Crab Sticks"/>
        <s v="Beef Jerky"/>
        <s v="Under Desk Footrest"/>
        <s v="Mini Projector for Smartphones"/>
        <s v="Basil Lemonade"/>
        <s v="Canvas Wall Art"/>
        <s v="Portable Speaker Stand"/>
        <s v="Diced Tomatoes (canned)"/>
        <s v="Outdoor Sports Backpack"/>
        <s v="Customizable Photo Calendar"/>
        <s v="Chickpea Pancakes"/>
        <s v="Window Blinds"/>
        <s v="Scented Candles"/>
        <s v="Sweet and Spicy Barbecue Sauce"/>
        <s v="Pest Control Traps"/>
        <s v="Bluetooth Shower Speaker"/>
        <s v="Organic Sweet Potatoes"/>
        <s v="Chipotle Sauce"/>
        <s v="Wireless Game Controller"/>
        <s v="Mango Salsa"/>
        <s v="Indoor Plants"/>
        <s v="Plant Growing Kit"/>
        <s v="Smoked Gouda Cheese"/>
        <s v="Organic Coconut Flakes"/>
        <s v="Recipe Book Stand"/>
        <s v="Garden Vegetable Chips"/>
        <s v="Electric Wine Opener"/>
        <s v="Magic Color-Changing Mug"/>
        <s v="Emergency Preparedness Kit"/>
        <s v="Wi-Fi Enabled Smart Light Switch"/>
        <s v="Maple Pecan Pancake Mix"/>
        <s v="Garden Tool Set"/>
        <s v="Fruit Medley Juice"/>
        <s v="Smartphone Tripod"/>
        <s v="Bluetooth Sleep Headphones"/>
        <s v="Kids' Crafting Station"/>
        <s v="Smart Wi-Fi Camera"/>
        <s v="Stainless Steel Travel Mug"/>
        <s v="Luxury Memory Foam Mattress Topper"/>
        <s v="Multifunctional Pocket Tool"/>
        <s v="Chocolate Syrup"/>
        <s v="Herbed Chicken Breast"/>
        <s v="Roasted Sweet Corn"/>
        <s v="Brazil Nuts"/>
        <s v="Portable Leaf Blower"/>
        <s v="Set of Measuring Spoons"/>
        <s v="Chocolate Chip Cookie Dough"/>
        <s v="Toasted Coconut Granola"/>
        <s v="Honey-Balsamic Vinaigrette"/>
        <s v="Portable Air Compressor"/>
        <s v="Chewy Granola Bars"/>
        <s v="Sweet Potato Tots"/>
        <s v="Gaming Mousepad"/>
        <s v="Honey Mustard Chicken Breasts"/>
        <s v="Portable Air Purifier"/>
        <s v="Spicy Tuna Salad"/>
        <s v="Oatmeal Raisin Cookies"/>
        <s v="Children's Backpack"/>
        <s v="Pumpkin Spice Muffins"/>
        <s v="Organic Cereal Bars"/>
        <s v="Feta Cheese"/>
        <s v="Patterned Knit Scarf"/>
        <s v="Face Mask Set"/>
        <s v="Foam Muscle Roller"/>
        <s v="Pet Reflective Vest"/>
        <s v="Shatterproof Wine Glasses"/>
        <s v="Car Phone Mount"/>
        <s v="Kale Caesar Salad Kit"/>
        <s v="Portable Charger with Solar Panel"/>
        <s v="Sketchbook"/>
        <s v="Asian Noodle Salad Kit"/>
        <s v="Herbal Tea Variety Pack"/>
        <s v="Sesame Oil"/>
        <s v="Fruit &amp; Nut Trail Mix"/>
        <s v="Smart Plug"/>
        <s v="Inflatable Party Cooler"/>
        <s v="Smartphone Car Mount with Wireless Charging"/>
        <s v="Savory Oats"/>
        <s v="Creamy Coleslaw Mix"/>
        <s v="Oven Thermometer"/>
        <s v="Pork Chops"/>
        <s v="Silicone Wine Glasses"/>
        <s v="Spicy Beef Taco Mix"/>
        <s v="Vintage Graphic Tee"/>
        <s v="LED Disco Ball Light"/>
        <s v="Grilled Veggie Burgers"/>
        <s v="Almond Joy Snack Bars"/>
        <s v="Lemon Herb Quinoa"/>
        <s v="Party Mini Dress"/>
        <s v="Insulated Lunch Bag"/>
        <s v="Adjustable Standing Desk"/>
        <s v="Electric Toothbrush Holder"/>
        <s v="Organic Granola"/>
        <s v="Chicken Sausage"/>
        <s v="Comfort Flats"/>
        <s v="Reusable Produce Bags Set"/>
        <s v="Spaghetti Sauce"/>
        <s v="Water Bottle"/>
        <s v="Spicy Thai Noodles"/>
        <s v="Peanut Butter Granola"/>
        <s v="Hair Dryer"/>
        <s v="Coconut Chia Seed Pudding"/>
        <s v="Camping Chair"/>
        <s v="Organic Whole Wheat Flour"/>
        <s v="Magnetic Whiteboard"/>
        <s v="Classic Baseball Cap"/>
        <s v="Honey Roasted Chickpeas"/>
        <s v="Spicy Garlic Edamame"/>
        <s v="Raisin Cinnamon Granola"/>
        <s v="Wireless Gaming Headset"/>
        <s v="Fire Roasted Salsa"/>
        <s v="Puff Pastry"/>
        <s v="Watercolor Paint Set"/>
        <s v="Adjustable Garden Rake"/>
        <s v="Maple Cinnamon Almonds"/>
        <s v="Sweet Pea Hummus"/>
        <s v="High-Top Leather Boots"/>
        <s v="Californian Raisins"/>
        <s v="Personalized Keychain"/>
        <s v="Smoked Paprika Chicken Thighs"/>
        <s v="Electric Food Slicer"/>
        <s v="Sustainable Wooden Toys"/>
        <s v="Hand Crank Blender"/>
        <s v="Dishwasher Safe Cutting Board"/>
        <s v="Protein Bar Variety Pack"/>
        <s v="Casual Sneakers"/>
        <s v="High-Speed Blender"/>
        <s v="Decorative LED Neon Sign"/>
        <s v="Tomato Sauce"/>
        <s v="Organic Tomato Soup"/>
        <s v="Electric Wax Warmer"/>
        <s v="Zesty Garlic Hummus"/>
        <s v="Almond Milk"/>
        <s v="Pet Hair Vacuum Attachment"/>
        <s v="Raspberry Vanilla Greek Yogurt"/>
        <s v="Pet Tracking Collar"/>
        <s v="Teriyaki Beef Strips"/>
        <s v="Tandoori Chicken Marinade"/>
        <s v="Peach Mango Smoothie"/>
        <s v="DIY Lip Balm Kit"/>
        <s v="Smartphone Projector Kit"/>
        <s v="Dark Chocolate Bars"/>
        <s v="Multicolored LED Strip Lights"/>
        <s v="Banana Peanut Butter Smoothie"/>
        <s v="High-Waisted Skirt"/>
        <s v="Coconut Chips"/>
        <s v="Electric Nail File Kit"/>
        <s v="Electric Milk Frother"/>
        <s v="Electric Rice Cooker"/>
        <s v="Wrap Front Midi Skirt"/>
        <s v="Cinnamon Raisin Bagels"/>
        <s v="Hiking Boots"/>
        <s v="Hand Mixer"/>
        <s v="Vegetable Pizza Rolls"/>
        <s v="Beard Grooming Kit"/>
        <s v="Mini Cordless Vacuum Cleaner"/>
        <s v="Tea Infuser"/>
        <s v="Wireless Smart Plug"/>
        <s v="Buffalo Chicken Wraps"/>
        <s v="Mini Indoor Hydroponic Garden"/>
        <s v="Caramel Sauce"/>
        <s v="Apple Cinnamon Granola"/>
        <s v="Pumpkin Spice Coffee"/>
        <s v="Scented Soy Candles"/>
        <s v="Coconut Milk Ice Cream"/>
        <s v="Digital Drawing Tablet"/>
        <s v="Adjustable Laptop Desk"/>
        <s v="Sweet Chili Sauce"/>
        <s v="Granola Clusters"/>
        <s v="Mango Chili Salsa"/>
        <s v="DIY Lip Balm Making Kit"/>
        <s v="Mini Fondue Set"/>
        <s v="Almond Flour Brownies"/>
        <s v="Cinnamon Spiced Almonds"/>
        <s v="Portable Pet Bathing Tool"/>
        <s v="Vegetable Lentil Soup"/>
        <s v="Floral Summer Dress"/>
        <s v="LED Canopy Lights"/>
        <s v="Electric Pressure Washer"/>
        <s v="Pasta Portion Control Measure"/>
        <s v="Fettuccine Alfredo Dinner Kit"/>
        <s v="Frozen Broccoli"/>
        <s v="Teriyaki Chicken Stir-Fry"/>
        <s v="Sliced Provolone Cheese"/>
        <s v="Low-Fat Cottage Cheese"/>
        <s v="Brown Rice"/>
        <s v="Pasta Primavera"/>
        <s v="Rechargeable Laptop Battery Pack"/>
        <s v="Natural Soy Candles"/>
        <s v="Organic Coconut Flour"/>
        <s v="Vegan Chocolate Cake Mix"/>
        <s v="Multi-Purpose Plant Care Tool"/>
        <s v="Camping Lantern"/>
        <s v="Veggie Lovers Pizza"/>
        <s v="USB-C Hub"/>
        <s v="Sesame Noodles"/>
        <s v="Zucchini"/>
        <s v="Honey Sesame Cashews"/>
        <s v="Stuffed Peppers with Quinoa"/>
        <s v="Cooking Utensil Set"/>
        <s v="Frozen Berry Blend"/>
        <s v="Compact Portable Grill"/>
        <s v="Garlic Herb Seasoning"/>
        <s v="Feta Cheese Crumbles"/>
        <s v="Pressure Cooker"/>
        <s v="Roasted Garlic"/>
        <s v="Lemon Basil Pasta Sauce"/>
        <s v="Non-Stick Grill Pan"/>
        <s v="Sliced Ham"/>
        <s v="Herbal Garden Starter Kit"/>
        <s v="Garden Tool Belt"/>
        <s v="Chic Ankle Strap Heels"/>
        <s v="Spicy BBQ Sauce"/>
        <s v="Ginger Turmeric Shots"/>
        <s v="Honey Garlic Sauce"/>
        <s v="Travel Beach Blanket"/>
        <s v="Sweet Cherry Tomatoes"/>
        <s v="Classic Black Dress"/>
        <s v="Thyme"/>
        <s v="Wooden Blocks"/>
        <s v="Utility Cargo Pants"/>
        <s v="Portable Charcoal Grill"/>
        <s v="Savory Rice Cakes"/>
        <s v="Smartphone Tripod with Bluetooth Remote"/>
        <s v="LED Strip Lights with Remote Control"/>
        <s v="Ranch Dressing"/>
        <s v="Wire Shelving Unit"/>
        <s v="Cinnamon Raisin Bread"/>
        <s v="Chicken Fajita Kit"/>
        <s v="Non-Slip Yoga Socks"/>
        <s v="Balsamic Salad Dressing"/>
        <s v="Garlic and Herb Rub"/>
        <s v="Compressible Packing Cubes"/>
        <s v="Outdoor Folding Table"/>
        <s v="Mini Food Processor"/>
        <s v="Magnetic Puzzle Board"/>
        <s v="Garlic Herb Cream Cheese"/>
        <s v="Stuffed Bell Peppers"/>
        <s v="Cinnamon Rolls"/>
        <s v="Buttermilk Pancakes"/>
        <s v="LED Under Cabinet Lighting"/>
        <s v="Peanut Butter Pretzel Nuggets"/>
        <s v="Honey Sesame Chicken Mix"/>
        <s v="Pumpkin Spice Cookies"/>
        <s v="Honey Mustard Pretzel Bites"/>
        <s v="Adjustable Laptop Stand"/>
        <s v="Ceramic Knife Set"/>
        <s v="Sriracha Honey Glaze"/>
        <s v="Gardening Kneeler and Seat"/>
        <s v="Self-Stirring Mug"/>
        <s v="Portable Phone Mug Holder"/>
        <s v="Tuscan Bean Soup"/>
        <s v="Fridge Magnet Set"/>
        <s v="Beef Stew Meat"/>
        <s v="Coconut Yogurt"/>
        <s v="Chia Seed Pudding"/>
        <s v="Rechargeable Hand Warmer"/>
        <s v="Eco-Friendly Stainless Steel Straws"/>
        <s v="Honey"/>
        <s v="Portable Hand Warmer"/>
        <s v="Peach Mango Smoothie Mix"/>
        <s v="Wild Rice &amp; Quinoa Mix"/>
        <s v="Wireless Earbud Silicone Covers"/>
        <s v="Spinach Artichoke Dip"/>
        <s v="Wireless Car Charger"/>
        <s v="Sporty Slide Sandals"/>
        <s v="Fresh Basil Pesto"/>
        <s v="Blue Denim Jeans"/>
        <s v="Fall-Themed Table Runner"/>
        <s v="Winter Insulated Jacket"/>
        <s v="Siphon Coffee Maker"/>
        <s v="Robot Vacuum Cleaner"/>
        <s v="Honey BBQ Ribs"/>
        <s v="Home Delivery Food Journal"/>
        <s v="Compact Umbrella"/>
        <s v="Travel Orthopedic Pillow"/>
        <s v="Classic Cheeseburger Mix"/>
        <s v="Sun Protection Clothing"/>
        <s v="Tea Infuser Bottle"/>
        <s v="Gluten-Free Biscuits"/>
        <s v="Travel Eye Mask with Ear Plugs"/>
        <s v="Non-Stick Crepe Pan"/>
        <s v="Kids' Dinosaur-Themed Lunchbox"/>
        <s v="Solar Garden Lights"/>
        <s v="Pet Grooming Glove"/>
        <s v="Wrist Support Brace"/>
        <s v="Beef Stroganoff Mix"/>
        <s v="Watering Can with Nozzle"/>
        <s v="Caribbean Jerk Marinade"/>
        <s v="Crispy Potato Tots"/>
        <s v="Pet Travel Carrier"/>
        <s v="Biodegradable Trash Bags"/>
        <s v="Pomegranate Juice"/>
        <s v="Smartphone Gimbal"/>
        <s v="Cauliflower Crust Pizza"/>
        <s v="Electric Can Opener"/>
        <s v="Ceramic Non-Stick Frying Pan"/>
        <s v="Microwave Popcorn Maker"/>
        <s v="Herbed Goat Cheese"/>
        <s v="Crispy Tofu Bites"/>
        <s v="Indoor Grill"/>
        <s v="Jasmine Rice"/>
        <s v="Portable UV Sterilizer"/>
        <s v="Karaoke Microphone"/>
        <s v="LED Desk Light"/>
        <s v="Soft Plush Throw Blanket"/>
        <s v="Chopping Board"/>
        <s v="Oven-Baked Potato Chips"/>
        <s v="Stick Vacuums Cleaner"/>
        <s v="Adjustable Stand for Tablets and Smartphones"/>
        <s v="Thai Coconut Curry Sauce"/>
        <s v="Pumpkin Puree"/>
        <s v="Coconut Macaroons"/>
        <s v="Pepperoni Pizza Roll-Ups"/>
        <s v="Vegan Alfredo Sauce"/>
        <s v="Stainless Steel Water Pitcher"/>
        <s v="Salsa Verde"/>
        <s v="Non-Stick Grill Mat"/>
        <s v="Garden Hoses with Expandable Features"/>
        <s v="Compact Electric Kettle"/>
        <s v="Fishing Rod"/>
        <s v="Pet Caress Brush"/>
        <s v="Fitness Jump Box"/>
        <s v="Nature Explorer Lens Kit"/>
        <s v="Pepperoni Pizza Rolls"/>
        <s v="Cable Knit Beanie"/>
        <s v="Peach &amp; Mango Salsa"/>
        <s v="Pistachios"/>
        <s v="Thai Green Curry Paste"/>
        <s v="Marinated Artichokes"/>
        <s v="Cucumber"/>
        <s v="Summer Tank Dress"/>
        <s v="Organic Tomato Ketchup"/>
        <s v="Rain Jacket"/>
        <s v="Shoe Organizer"/>
        <s v="Whole Grain Mustard"/>
        <s v="Italian Sausage and Peppers"/>
        <s v="Pepper Jack Cheese Slices"/>
        <s v="Chicken Broth"/>
        <s v="Breezy Off-The-Shoulder Top"/>
        <s v="Watercolor Brush Pens"/>
        <s v="Cacao Nibs"/>
        <s v="Kale Chips"/>
        <s v="Kitchen Scale"/>
        <s v="Teriyaki Chicken Bowl"/>
        <s v="Zesty Garlic Marinade"/>
        <s v="Self-Cleaning Water Bottle"/>
        <s v="Outdoor Portable Fire Pit"/>
        <s v="Graphic Tee"/>
        <s v="Chickpea Salad Deluxe"/>
        <s v="Hot Dog Buns"/>
        <s v="Herbed Mushroom Risotto"/>
        <s v="Canned Black Beans"/>
        <s v="Handheld Garment Steamer"/>
        <s v="Acoustic Guitar"/>
        <s v="Cold Brew Coffee Maker"/>
        <s v="Cocktail Shaker Set"/>
        <s v="Wall Art Stickers"/>
        <s v="Organic Coconut Oil"/>
        <s v="Vegetable Stir-Fry Sauce"/>
        <s v="Beef Stroganoff Meal Kit"/>
        <s v="Saffron Rice Mix"/>
        <s v="Sports Bottle"/>
        <s v="Smart WiFi Plug"/>
        <s v="Mechanical Pencil Set"/>
        <s v="LED Desk Lamp with USB Charging Port"/>
        <s v="Mixed Berry Smoothie Pack"/>
        <s v="Magnetic Screen Door"/>
        <s v="Lemon Sorbet"/>
        <s v="Butternut Squash Soup"/>
        <s v="Chocolate Protein Powder"/>
        <s v="Slingback Sandals"/>
        <s v="Dog Training Clicker"/>
        <s v="Sweetened Condensed Milk"/>
        <s v="Honeycrisp Apple Chips"/>
        <s v="Chunky Knit Sweater"/>
        <s v="Italian Meatballs"/>
        <s v="Black Bean Soup"/>
        <s v="Handheld Shower Head"/>
        <s v="Honey Sriracha Chicken Bites"/>
        <s v="Chickpea Pasta"/>
        <s v="Quinoa Salad"/>
        <s v="Coconut Curry Lentil Soup"/>
        <s v="Non-Stick Baking Sheet"/>
        <s v="Fruit Infuser Water Bottle"/>
        <s v="Pressure Washer Accessories Kit"/>
        <s v="Electric Rice Cooker with Steamer"/>
        <s v="Sliced Turkey Breast"/>
        <s v="Sooji (Semolina)"/>
        <s v="Ginger Turmeric Latte Mix"/>
        <s v="Sweet Potato Mash"/>
        <s v="Silicone Baking Mat"/>
        <s v="USB Desk Fan"/>
        <s v="Vanilla Almond Granola"/>
        <s v="Puffed Rice Cake"/>
        <s v="Pecan Pie Filling"/>
        <s v="Vegan Protein Powder"/>
        <s v="Safety First Aid Kit"/>
        <s v="Pet Safety Belt for Car"/>
        <s v="Baking Soda"/>
        <s v="Peanut Butter Cookies"/>
        <s v="Coconut Cream"/>
        <s v="Roasted Red Pepper Dip"/>
        <s v="Denim Jacket"/>
        <s v="Heavy Duty Gardening Tool Set"/>
        <s v="Cinnamon Ice Cream"/>
        <s v="Lemon Garlic Marinade"/>
        <s v="Vegetable Sushi Rolls"/>
        <s v="Cranberry Almond Granola"/>
        <s v="Grass Fed Beef Patties"/>
        <s v="Microfiber Cleaning Cloths"/>
        <s v="Paprika"/>
        <s v="Mesh Laundry Bags Set"/>
        <s v="Weighted Jump Rope"/>
        <s v="Pet Hair Removal Brush"/>
        <s v="Cinnamon Sugar Popcorn"/>
        <s v="Pasta Sauce Mix"/>
        <s v="Men's Waterproof Hiking Boots"/>
        <s v="Granola"/>
        <s v="Portable Solar Charger"/>
        <s v="Buffalo Chicken Dip"/>
        <s v="Brownie Bites"/>
        <s v="Chocolate Hazelnut Granola"/>
      </sharedItems>
    </cacheField>
    <cacheField name="price" numFmtId="0">
      <sharedItems containsSemiMixedTypes="0" containsString="0" containsNumber="1" minValue="9.2899999999999991" maxValue="996.85"/>
    </cacheField>
    <cacheField name="stock_quantity" numFmtId="0">
      <sharedItems containsSemiMixedTypes="0" containsString="0" containsNumber="1" containsInteger="1" minValue="3" maxValue="999"/>
    </cacheField>
    <cacheField name="category" numFmtId="0">
      <sharedItems count="5">
        <s v="electronics"/>
        <s v="home goods"/>
        <s v="toys"/>
        <s v="books"/>
        <s v="clothing"/>
      </sharedItems>
    </cacheField>
    <cacheField name="product_brand" numFmtId="0">
      <sharedItems count="90">
        <s v="Food - Snacks"/>
        <s v="Accessories"/>
        <s v="Food - Baking"/>
        <s v="Food - Nuts"/>
        <s v="Automotive"/>
        <s v="Clothing"/>
        <s v="Clothing - Dresses"/>
        <s v="Food - Produce"/>
        <s v="Fitness"/>
        <s v="Food - Gourmet Rice"/>
        <s v="Outdoor"/>
        <s v="Food - Seafood"/>
        <s v="Office"/>
        <s v="Electronics"/>
        <s v="Food - Beverages"/>
        <s v="Home"/>
        <s v="Audio"/>
        <s v="Food - Canned Goods"/>
        <s v="Books"/>
        <s v="Food - Frozen"/>
        <s v="Food - Condiments"/>
        <s v="Gaming"/>
        <s v="Garden"/>
        <s v="Food - Dairy"/>
        <s v="Kitchen"/>
        <s v="Safety"/>
        <s v="Smart Home"/>
        <s v="Food - Breakfast"/>
        <s v="Photography"/>
        <s v="Toys"/>
        <s v="Tools"/>
        <s v="Food - Meat"/>
        <s v="Food - Dressing"/>
        <s v="Food - Frozen Foods"/>
        <s v="Health"/>
        <s v="Food - Baked Goods"/>
        <s v="Food - Bakery"/>
        <s v="Clothing - Accessories"/>
        <s v="Pets"/>
        <s v="Food - Salads"/>
        <s v="Art Supplies"/>
        <s v="Food - Oils &amp; Vinegars"/>
        <s v="Clothing - Tops"/>
        <s v="Food - Meat Alternatives"/>
        <s v="Food - Grains"/>
        <s v="Clothing - Shoes"/>
        <s v="Food - Frozen Meals"/>
        <s v="Beauty"/>
        <s v="Food - Baking Goods"/>
        <s v="Food - Cereals"/>
        <s v="Food - Dips"/>
        <s v="Clothing - Footwear"/>
        <s v="Food - Dried Fruits"/>
        <s v="Crafts"/>
        <s v="Clothing - Bottoms"/>
        <s v="Footwear"/>
        <s v="Grooming"/>
        <s v="Home Appliances"/>
        <s v="Food - Prepared Meals"/>
        <s v="Food - Frozen Desserts"/>
        <s v="Food - Cereal"/>
        <s v="Home Improvement"/>
        <s v="Computers"/>
        <s v="Food - Grab-and-Go"/>
        <s v="Food - Spices"/>
        <s v="Food - Sauces"/>
        <s v="Food - Fresh Produce"/>
        <s v="Clothing - Pants"/>
        <s v="Food - Prepared Foods"/>
        <s v="Food - Deli"/>
        <s v="Travel"/>
        <s v="Food - Dairy Alternatives"/>
        <s v="Food - Meats"/>
        <s v="Food - Meal Kits"/>
        <s v="Food - Marinades"/>
        <s v="Food - Freezer"/>
        <s v="Food - Cheese"/>
        <s v="Food - Protein"/>
        <s v="Music"/>
        <s v="Food - Confectionery"/>
        <s v="Food - Vegetables"/>
        <s v="Food - Oils"/>
        <s v="Food - Frozen Food"/>
        <s v="Food - Soups"/>
        <s v="Food - Supplements"/>
        <s v="Bathroom"/>
        <s v="Food - Pasta"/>
        <s v="Food - Deli Meats"/>
        <s v="Food - Baking &amp; Cooking"/>
        <s v="Clothing - Outerwear"/>
      </sharedItems>
    </cacheField>
    <cacheField name="total value" numFmtId="0">
      <sharedItems containsSemiMixedTypes="0" containsString="0" containsNumber="1" minValue="773.76" maxValue="978746.88"/>
    </cacheField>
  </cacheFields>
  <extLst>
    <ext xmlns:x14="http://schemas.microsoft.com/office/spreadsheetml/2009/9/main" uri="{725AE2AE-9491-48be-B2B4-4EB974FC3084}">
      <x14:pivotCacheDefinition pivotCacheId="1993235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359.44"/>
    <n v="389"/>
    <x v="0"/>
    <x v="0"/>
    <n v="139822.16"/>
  </r>
  <r>
    <x v="1"/>
    <n v="892.28"/>
    <n v="357"/>
    <x v="1"/>
    <x v="1"/>
    <n v="318543.95999999996"/>
  </r>
  <r>
    <x v="2"/>
    <n v="637.52"/>
    <n v="204"/>
    <x v="2"/>
    <x v="0"/>
    <n v="130054.08"/>
  </r>
  <r>
    <x v="3"/>
    <n v="244.26"/>
    <n v="171"/>
    <x v="3"/>
    <x v="2"/>
    <n v="41768.46"/>
  </r>
  <r>
    <x v="4"/>
    <n v="558.70000000000005"/>
    <n v="741"/>
    <x v="4"/>
    <x v="3"/>
    <n v="413996.7"/>
  </r>
  <r>
    <x v="5"/>
    <n v="540.67999999999995"/>
    <n v="945"/>
    <x v="1"/>
    <x v="4"/>
    <n v="510942.6"/>
  </r>
  <r>
    <x v="6"/>
    <n v="288.04000000000002"/>
    <n v="838"/>
    <x v="3"/>
    <x v="1"/>
    <n v="241377.52000000002"/>
  </r>
  <r>
    <x v="7"/>
    <n v="283.47000000000003"/>
    <n v="363"/>
    <x v="4"/>
    <x v="5"/>
    <n v="102899.61000000002"/>
  </r>
  <r>
    <x v="8"/>
    <n v="41.65"/>
    <n v="101"/>
    <x v="4"/>
    <x v="6"/>
    <n v="4206.6499999999996"/>
  </r>
  <r>
    <x v="9"/>
    <n v="911.46"/>
    <n v="76"/>
    <x v="4"/>
    <x v="7"/>
    <n v="69270.960000000006"/>
  </r>
  <r>
    <x v="10"/>
    <n v="322.52999999999997"/>
    <n v="365"/>
    <x v="4"/>
    <x v="8"/>
    <n v="117723.45"/>
  </r>
  <r>
    <x v="11"/>
    <n v="729.55"/>
    <n v="119"/>
    <x v="1"/>
    <x v="9"/>
    <n v="86816.45"/>
  </r>
  <r>
    <x v="12"/>
    <n v="373.37"/>
    <n v="932"/>
    <x v="2"/>
    <x v="10"/>
    <n v="347980.84"/>
  </r>
  <r>
    <x v="13"/>
    <n v="708.6"/>
    <n v="138"/>
    <x v="4"/>
    <x v="11"/>
    <n v="97786.8"/>
  </r>
  <r>
    <x v="14"/>
    <n v="186.03"/>
    <n v="486"/>
    <x v="0"/>
    <x v="0"/>
    <n v="90410.58"/>
  </r>
  <r>
    <x v="15"/>
    <n v="101.73"/>
    <n v="953"/>
    <x v="4"/>
    <x v="12"/>
    <n v="96948.69"/>
  </r>
  <r>
    <x v="16"/>
    <n v="466.37"/>
    <n v="919"/>
    <x v="1"/>
    <x v="13"/>
    <n v="428594.03"/>
  </r>
  <r>
    <x v="17"/>
    <n v="731.52"/>
    <n v="396"/>
    <x v="4"/>
    <x v="14"/>
    <n v="289681.91999999998"/>
  </r>
  <r>
    <x v="18"/>
    <n v="219.84"/>
    <n v="429"/>
    <x v="0"/>
    <x v="15"/>
    <n v="94311.360000000001"/>
  </r>
  <r>
    <x v="19"/>
    <n v="238.83"/>
    <n v="575"/>
    <x v="4"/>
    <x v="16"/>
    <n v="137327.25"/>
  </r>
  <r>
    <x v="20"/>
    <n v="788.94"/>
    <n v="360"/>
    <x v="4"/>
    <x v="17"/>
    <n v="284018.40000000002"/>
  </r>
  <r>
    <x v="21"/>
    <n v="62.05"/>
    <n v="216"/>
    <x v="0"/>
    <x v="10"/>
    <n v="13402.8"/>
  </r>
  <r>
    <x v="22"/>
    <n v="436.35"/>
    <n v="594"/>
    <x v="4"/>
    <x v="18"/>
    <n v="259191.90000000002"/>
  </r>
  <r>
    <x v="23"/>
    <n v="985.48"/>
    <n v="993"/>
    <x v="1"/>
    <x v="19"/>
    <n v="978581.64"/>
  </r>
  <r>
    <x v="24"/>
    <n v="349.87"/>
    <n v="98"/>
    <x v="3"/>
    <x v="15"/>
    <n v="34287.26"/>
  </r>
  <r>
    <x v="25"/>
    <n v="484.28"/>
    <n v="870"/>
    <x v="2"/>
    <x v="15"/>
    <n v="421323.6"/>
  </r>
  <r>
    <x v="26"/>
    <n v="923.58"/>
    <n v="98"/>
    <x v="0"/>
    <x v="20"/>
    <n v="90510.840000000011"/>
  </r>
  <r>
    <x v="27"/>
    <n v="456.47"/>
    <n v="490"/>
    <x v="1"/>
    <x v="15"/>
    <n v="223670.30000000002"/>
  </r>
  <r>
    <x v="28"/>
    <n v="763.68"/>
    <n v="790"/>
    <x v="1"/>
    <x v="16"/>
    <n v="603307.19999999995"/>
  </r>
  <r>
    <x v="29"/>
    <n v="329.73"/>
    <n v="612"/>
    <x v="0"/>
    <x v="7"/>
    <n v="201794.76"/>
  </r>
  <r>
    <x v="30"/>
    <n v="802.11"/>
    <n v="142"/>
    <x v="2"/>
    <x v="20"/>
    <n v="113899.62"/>
  </r>
  <r>
    <x v="31"/>
    <n v="165.31"/>
    <n v="416"/>
    <x v="2"/>
    <x v="21"/>
    <n v="68768.960000000006"/>
  </r>
  <r>
    <x v="32"/>
    <n v="10.37"/>
    <n v="211"/>
    <x v="3"/>
    <x v="20"/>
    <n v="2188.0699999999997"/>
  </r>
  <r>
    <x v="33"/>
    <n v="877.33"/>
    <n v="172"/>
    <x v="2"/>
    <x v="22"/>
    <n v="150900.76"/>
  </r>
  <r>
    <x v="34"/>
    <n v="43.59"/>
    <n v="529"/>
    <x v="1"/>
    <x v="22"/>
    <n v="23059.11"/>
  </r>
  <r>
    <x v="35"/>
    <n v="81.19"/>
    <n v="84"/>
    <x v="3"/>
    <x v="23"/>
    <n v="6819.96"/>
  </r>
  <r>
    <x v="36"/>
    <n v="382.77"/>
    <n v="20"/>
    <x v="1"/>
    <x v="2"/>
    <n v="7655.4"/>
  </r>
  <r>
    <x v="37"/>
    <n v="571.78"/>
    <n v="645"/>
    <x v="3"/>
    <x v="24"/>
    <n v="368798.1"/>
  </r>
  <r>
    <x v="38"/>
    <n v="385.98"/>
    <n v="627"/>
    <x v="3"/>
    <x v="0"/>
    <n v="242009.46000000002"/>
  </r>
  <r>
    <x v="39"/>
    <n v="447.8"/>
    <n v="778"/>
    <x v="0"/>
    <x v="24"/>
    <n v="348388.4"/>
  </r>
  <r>
    <x v="40"/>
    <n v="307.69"/>
    <n v="583"/>
    <x v="3"/>
    <x v="24"/>
    <n v="179383.27"/>
  </r>
  <r>
    <x v="41"/>
    <n v="219.37"/>
    <n v="793"/>
    <x v="2"/>
    <x v="25"/>
    <n v="173960.41"/>
  </r>
  <r>
    <x v="42"/>
    <n v="200.02"/>
    <n v="332"/>
    <x v="4"/>
    <x v="26"/>
    <n v="66406.64"/>
  </r>
  <r>
    <x v="43"/>
    <n v="463.78"/>
    <n v="818"/>
    <x v="4"/>
    <x v="27"/>
    <n v="379372.04"/>
  </r>
  <r>
    <x v="44"/>
    <n v="867.34"/>
    <n v="254"/>
    <x v="4"/>
    <x v="22"/>
    <n v="220304.36000000002"/>
  </r>
  <r>
    <x v="45"/>
    <n v="326.44"/>
    <n v="514"/>
    <x v="1"/>
    <x v="14"/>
    <n v="167790.16"/>
  </r>
  <r>
    <x v="46"/>
    <n v="601.66999999999996"/>
    <n v="463"/>
    <x v="1"/>
    <x v="28"/>
    <n v="278573.20999999996"/>
  </r>
  <r>
    <x v="47"/>
    <n v="356.89"/>
    <n v="96"/>
    <x v="4"/>
    <x v="16"/>
    <n v="34261.440000000002"/>
  </r>
  <r>
    <x v="48"/>
    <n v="868.12"/>
    <n v="60"/>
    <x v="3"/>
    <x v="29"/>
    <n v="52087.199999999997"/>
  </r>
  <r>
    <x v="49"/>
    <n v="817.4"/>
    <n v="439"/>
    <x v="3"/>
    <x v="26"/>
    <n v="358838.6"/>
  </r>
  <r>
    <x v="50"/>
    <n v="400.81"/>
    <n v="542"/>
    <x v="1"/>
    <x v="24"/>
    <n v="217239.02"/>
  </r>
  <r>
    <x v="51"/>
    <n v="283.94"/>
    <n v="152"/>
    <x v="0"/>
    <x v="15"/>
    <n v="43158.879999999997"/>
  </r>
  <r>
    <x v="52"/>
    <n v="770.43"/>
    <n v="927"/>
    <x v="4"/>
    <x v="30"/>
    <n v="714188.61"/>
  </r>
  <r>
    <x v="53"/>
    <n v="970.98"/>
    <n v="917"/>
    <x v="4"/>
    <x v="20"/>
    <n v="890388.66"/>
  </r>
  <r>
    <x v="54"/>
    <n v="876.5"/>
    <n v="545"/>
    <x v="3"/>
    <x v="31"/>
    <n v="477692.5"/>
  </r>
  <r>
    <x v="55"/>
    <n v="877.78"/>
    <n v="802"/>
    <x v="1"/>
    <x v="19"/>
    <n v="703979.55999999994"/>
  </r>
  <r>
    <x v="56"/>
    <n v="885.22"/>
    <n v="833"/>
    <x v="2"/>
    <x v="3"/>
    <n v="737388.26"/>
  </r>
  <r>
    <x v="57"/>
    <n v="23.43"/>
    <n v="943"/>
    <x v="2"/>
    <x v="10"/>
    <n v="22094.489999999998"/>
  </r>
  <r>
    <x v="58"/>
    <n v="801.07"/>
    <n v="53"/>
    <x v="1"/>
    <x v="24"/>
    <n v="42456.71"/>
  </r>
  <r>
    <x v="59"/>
    <n v="51.1"/>
    <n v="358"/>
    <x v="4"/>
    <x v="2"/>
    <n v="18293.8"/>
  </r>
  <r>
    <x v="60"/>
    <n v="475.72"/>
    <n v="15"/>
    <x v="2"/>
    <x v="27"/>
    <n v="7135.8"/>
  </r>
  <r>
    <x v="61"/>
    <n v="219.19"/>
    <n v="561"/>
    <x v="2"/>
    <x v="32"/>
    <n v="122965.59"/>
  </r>
  <r>
    <x v="62"/>
    <n v="55.62"/>
    <n v="257"/>
    <x v="0"/>
    <x v="4"/>
    <n v="14294.34"/>
  </r>
  <r>
    <x v="63"/>
    <n v="11.33"/>
    <n v="731"/>
    <x v="0"/>
    <x v="0"/>
    <n v="8282.23"/>
  </r>
  <r>
    <x v="64"/>
    <n v="783.07"/>
    <n v="517"/>
    <x v="2"/>
    <x v="33"/>
    <n v="404847.19"/>
  </r>
  <r>
    <x v="65"/>
    <n v="9.2899999999999991"/>
    <n v="877"/>
    <x v="0"/>
    <x v="21"/>
    <n v="8147.329999999999"/>
  </r>
  <r>
    <x v="66"/>
    <n v="103.45"/>
    <n v="616"/>
    <x v="4"/>
    <x v="31"/>
    <n v="63725.200000000004"/>
  </r>
  <r>
    <x v="67"/>
    <n v="866.69"/>
    <n v="709"/>
    <x v="0"/>
    <x v="34"/>
    <n v="614483.21000000008"/>
  </r>
  <r>
    <x v="68"/>
    <n v="66.959999999999994"/>
    <n v="864"/>
    <x v="4"/>
    <x v="11"/>
    <n v="57853.439999999995"/>
  </r>
  <r>
    <x v="69"/>
    <n v="790.97"/>
    <n v="396"/>
    <x v="0"/>
    <x v="35"/>
    <n v="313224.12"/>
  </r>
  <r>
    <x v="70"/>
    <n v="416.12"/>
    <n v="690"/>
    <x v="2"/>
    <x v="1"/>
    <n v="287122.8"/>
  </r>
  <r>
    <x v="71"/>
    <n v="610.44000000000005"/>
    <n v="325"/>
    <x v="2"/>
    <x v="36"/>
    <n v="198393.00000000003"/>
  </r>
  <r>
    <x v="72"/>
    <n v="908.54"/>
    <n v="164"/>
    <x v="2"/>
    <x v="0"/>
    <n v="149000.56"/>
  </r>
  <r>
    <x v="73"/>
    <n v="889.55"/>
    <n v="99"/>
    <x v="1"/>
    <x v="23"/>
    <n v="88065.45"/>
  </r>
  <r>
    <x v="74"/>
    <n v="847.85"/>
    <n v="351"/>
    <x v="3"/>
    <x v="37"/>
    <n v="297595.35000000003"/>
  </r>
  <r>
    <x v="75"/>
    <n v="844.79"/>
    <n v="907"/>
    <x v="3"/>
    <x v="34"/>
    <n v="766224.52999999991"/>
  </r>
  <r>
    <x v="76"/>
    <n v="302"/>
    <n v="858"/>
    <x v="0"/>
    <x v="8"/>
    <n v="259116"/>
  </r>
  <r>
    <x v="77"/>
    <n v="390.06"/>
    <n v="674"/>
    <x v="3"/>
    <x v="38"/>
    <n v="262900.44"/>
  </r>
  <r>
    <x v="78"/>
    <n v="110.75"/>
    <n v="574"/>
    <x v="0"/>
    <x v="10"/>
    <n v="63570.5"/>
  </r>
  <r>
    <x v="79"/>
    <n v="453.21"/>
    <n v="148"/>
    <x v="1"/>
    <x v="4"/>
    <n v="67075.08"/>
  </r>
  <r>
    <x v="80"/>
    <n v="802.62"/>
    <n v="257"/>
    <x v="1"/>
    <x v="39"/>
    <n v="206273.34"/>
  </r>
  <r>
    <x v="81"/>
    <n v="960.12"/>
    <n v="975"/>
    <x v="2"/>
    <x v="13"/>
    <n v="936117"/>
  </r>
  <r>
    <x v="82"/>
    <n v="278.64999999999998"/>
    <n v="855"/>
    <x v="4"/>
    <x v="40"/>
    <n v="238245.74999999997"/>
  </r>
  <r>
    <x v="83"/>
    <n v="244.31"/>
    <n v="451"/>
    <x v="2"/>
    <x v="39"/>
    <n v="110183.81"/>
  </r>
  <r>
    <x v="84"/>
    <n v="121.66"/>
    <n v="254"/>
    <x v="1"/>
    <x v="14"/>
    <n v="30901.64"/>
  </r>
  <r>
    <x v="85"/>
    <n v="180.72"/>
    <n v="417"/>
    <x v="1"/>
    <x v="41"/>
    <n v="75360.240000000005"/>
  </r>
  <r>
    <x v="86"/>
    <n v="781.01"/>
    <n v="760"/>
    <x v="1"/>
    <x v="0"/>
    <n v="593567.6"/>
  </r>
  <r>
    <x v="87"/>
    <n v="651.66"/>
    <n v="337"/>
    <x v="1"/>
    <x v="26"/>
    <n v="219609.41999999998"/>
  </r>
  <r>
    <x v="88"/>
    <n v="444.92"/>
    <n v="913"/>
    <x v="3"/>
    <x v="10"/>
    <n v="406211.96"/>
  </r>
  <r>
    <x v="89"/>
    <n v="834.67"/>
    <n v="71"/>
    <x v="1"/>
    <x v="4"/>
    <n v="59261.57"/>
  </r>
  <r>
    <x v="90"/>
    <n v="816.33"/>
    <n v="222"/>
    <x v="2"/>
    <x v="27"/>
    <n v="181225.26"/>
  </r>
  <r>
    <x v="91"/>
    <n v="75.8"/>
    <n v="519"/>
    <x v="2"/>
    <x v="7"/>
    <n v="39340.199999999997"/>
  </r>
  <r>
    <x v="92"/>
    <n v="906.56"/>
    <n v="877"/>
    <x v="4"/>
    <x v="24"/>
    <n v="795053.12"/>
  </r>
  <r>
    <x v="93"/>
    <n v="633.76"/>
    <n v="755"/>
    <x v="2"/>
    <x v="31"/>
    <n v="478488.8"/>
  </r>
  <r>
    <x v="94"/>
    <n v="14.43"/>
    <n v="620"/>
    <x v="0"/>
    <x v="10"/>
    <n v="8946.6"/>
  </r>
  <r>
    <x v="95"/>
    <n v="921.71"/>
    <n v="296"/>
    <x v="0"/>
    <x v="20"/>
    <n v="272826.16000000003"/>
  </r>
  <r>
    <x v="96"/>
    <n v="472.46"/>
    <n v="463"/>
    <x v="3"/>
    <x v="42"/>
    <n v="218748.97999999998"/>
  </r>
  <r>
    <x v="97"/>
    <n v="893.23"/>
    <n v="472"/>
    <x v="3"/>
    <x v="15"/>
    <n v="421604.56"/>
  </r>
  <r>
    <x v="98"/>
    <n v="818.73"/>
    <n v="821"/>
    <x v="2"/>
    <x v="43"/>
    <n v="672177.33"/>
  </r>
  <r>
    <x v="99"/>
    <n v="932.35"/>
    <n v="81"/>
    <x v="2"/>
    <x v="0"/>
    <n v="75520.350000000006"/>
  </r>
  <r>
    <x v="100"/>
    <n v="874.14"/>
    <n v="262"/>
    <x v="1"/>
    <x v="44"/>
    <n v="229024.68"/>
  </r>
  <r>
    <x v="101"/>
    <n v="463.56"/>
    <n v="101"/>
    <x v="4"/>
    <x v="6"/>
    <n v="46819.56"/>
  </r>
  <r>
    <x v="102"/>
    <n v="548.41"/>
    <n v="287"/>
    <x v="4"/>
    <x v="24"/>
    <n v="157393.66999999998"/>
  </r>
  <r>
    <x v="103"/>
    <n v="915.75"/>
    <n v="23"/>
    <x v="3"/>
    <x v="12"/>
    <n v="21062.25"/>
  </r>
  <r>
    <x v="1"/>
    <n v="203.49"/>
    <n v="910"/>
    <x v="4"/>
    <x v="1"/>
    <n v="185175.9"/>
  </r>
  <r>
    <x v="104"/>
    <n v="681.11"/>
    <n v="821"/>
    <x v="3"/>
    <x v="34"/>
    <n v="559191.31000000006"/>
  </r>
  <r>
    <x v="91"/>
    <n v="867.94"/>
    <n v="261"/>
    <x v="3"/>
    <x v="7"/>
    <n v="226532.34000000003"/>
  </r>
  <r>
    <x v="105"/>
    <n v="94.19"/>
    <n v="640"/>
    <x v="3"/>
    <x v="27"/>
    <n v="60281.599999999999"/>
  </r>
  <r>
    <x v="106"/>
    <n v="476.62"/>
    <n v="770"/>
    <x v="3"/>
    <x v="31"/>
    <n v="366997.4"/>
  </r>
  <r>
    <x v="107"/>
    <n v="345.4"/>
    <n v="43"/>
    <x v="4"/>
    <x v="45"/>
    <n v="14852.199999999999"/>
  </r>
  <r>
    <x v="108"/>
    <n v="162.26"/>
    <n v="861"/>
    <x v="1"/>
    <x v="24"/>
    <n v="139705.85999999999"/>
  </r>
  <r>
    <x v="109"/>
    <n v="371.64"/>
    <n v="389"/>
    <x v="1"/>
    <x v="17"/>
    <n v="144567.96"/>
  </r>
  <r>
    <x v="110"/>
    <n v="618.85"/>
    <n v="457"/>
    <x v="0"/>
    <x v="8"/>
    <n v="282814.45"/>
  </r>
  <r>
    <x v="111"/>
    <n v="982.67"/>
    <n v="309"/>
    <x v="1"/>
    <x v="46"/>
    <n v="303645.02999999997"/>
  </r>
  <r>
    <x v="112"/>
    <n v="701.79"/>
    <n v="781"/>
    <x v="1"/>
    <x v="27"/>
    <n v="548097.99"/>
  </r>
  <r>
    <x v="113"/>
    <n v="925.47"/>
    <n v="691"/>
    <x v="4"/>
    <x v="47"/>
    <n v="639499.77"/>
  </r>
  <r>
    <x v="4"/>
    <n v="165.82"/>
    <n v="241"/>
    <x v="1"/>
    <x v="3"/>
    <n v="39962.619999999995"/>
  </r>
  <r>
    <x v="114"/>
    <n v="354.07"/>
    <n v="386"/>
    <x v="2"/>
    <x v="0"/>
    <n v="136671.01999999999"/>
  </r>
  <r>
    <x v="115"/>
    <n v="646.54"/>
    <n v="98"/>
    <x v="4"/>
    <x v="10"/>
    <n v="63360.92"/>
  </r>
  <r>
    <x v="116"/>
    <n v="761.08"/>
    <n v="922"/>
    <x v="4"/>
    <x v="48"/>
    <n v="701715.76"/>
  </r>
  <r>
    <x v="117"/>
    <n v="19.84"/>
    <n v="39"/>
    <x v="3"/>
    <x v="12"/>
    <n v="773.76"/>
  </r>
  <r>
    <x v="118"/>
    <n v="507.36"/>
    <n v="872"/>
    <x v="2"/>
    <x v="37"/>
    <n v="442417.91999999998"/>
  </r>
  <r>
    <x v="119"/>
    <n v="96.12"/>
    <n v="25"/>
    <x v="0"/>
    <x v="0"/>
    <n v="2403"/>
  </r>
  <r>
    <x v="120"/>
    <n v="560.33000000000004"/>
    <n v="885"/>
    <x v="0"/>
    <x v="0"/>
    <n v="495892.05000000005"/>
  </r>
  <r>
    <x v="121"/>
    <n v="46.37"/>
    <n v="953"/>
    <x v="1"/>
    <x v="49"/>
    <n v="44190.61"/>
  </r>
  <r>
    <x v="122"/>
    <n v="548.07000000000005"/>
    <n v="714"/>
    <x v="3"/>
    <x v="21"/>
    <n v="391321.98000000004"/>
  </r>
  <r>
    <x v="123"/>
    <n v="804.1"/>
    <n v="794"/>
    <x v="3"/>
    <x v="20"/>
    <n v="638455.4"/>
  </r>
  <r>
    <x v="124"/>
    <n v="102.64"/>
    <n v="351"/>
    <x v="3"/>
    <x v="36"/>
    <n v="36026.639999999999"/>
  </r>
  <r>
    <x v="125"/>
    <n v="372.1"/>
    <n v="516"/>
    <x v="2"/>
    <x v="40"/>
    <n v="192003.6"/>
  </r>
  <r>
    <x v="126"/>
    <n v="193.66"/>
    <n v="705"/>
    <x v="0"/>
    <x v="22"/>
    <n v="136530.29999999999"/>
  </r>
  <r>
    <x v="127"/>
    <n v="511.61"/>
    <n v="528"/>
    <x v="2"/>
    <x v="3"/>
    <n v="270130.08"/>
  </r>
  <r>
    <x v="128"/>
    <n v="714.74"/>
    <n v="596"/>
    <x v="3"/>
    <x v="50"/>
    <n v="425985.04"/>
  </r>
  <r>
    <x v="129"/>
    <n v="556.30999999999995"/>
    <n v="836"/>
    <x v="3"/>
    <x v="51"/>
    <n v="465075.16"/>
  </r>
  <r>
    <x v="130"/>
    <n v="624.33000000000004"/>
    <n v="820"/>
    <x v="2"/>
    <x v="52"/>
    <n v="511950.60000000003"/>
  </r>
  <r>
    <x v="131"/>
    <n v="868.8"/>
    <n v="77"/>
    <x v="2"/>
    <x v="1"/>
    <n v="66897.599999999991"/>
  </r>
  <r>
    <x v="132"/>
    <n v="44.23"/>
    <n v="492"/>
    <x v="3"/>
    <x v="31"/>
    <n v="21761.16"/>
  </r>
  <r>
    <x v="133"/>
    <n v="394.33"/>
    <n v="787"/>
    <x v="4"/>
    <x v="24"/>
    <n v="310337.70999999996"/>
  </r>
  <r>
    <x v="134"/>
    <n v="240.31"/>
    <n v="177"/>
    <x v="2"/>
    <x v="29"/>
    <n v="42534.87"/>
  </r>
  <r>
    <x v="135"/>
    <n v="187.27"/>
    <n v="45"/>
    <x v="4"/>
    <x v="24"/>
    <n v="8427.15"/>
  </r>
  <r>
    <x v="136"/>
    <n v="211.25"/>
    <n v="382"/>
    <x v="2"/>
    <x v="24"/>
    <n v="80697.5"/>
  </r>
  <r>
    <x v="137"/>
    <n v="976.6"/>
    <n v="240"/>
    <x v="4"/>
    <x v="0"/>
    <n v="234384"/>
  </r>
  <r>
    <x v="138"/>
    <n v="949.69"/>
    <n v="482"/>
    <x v="1"/>
    <x v="51"/>
    <n v="457750.58"/>
  </r>
  <r>
    <x v="139"/>
    <n v="117.84"/>
    <n v="728"/>
    <x v="0"/>
    <x v="24"/>
    <n v="85787.520000000004"/>
  </r>
  <r>
    <x v="140"/>
    <n v="372.26"/>
    <n v="43"/>
    <x v="4"/>
    <x v="15"/>
    <n v="16007.18"/>
  </r>
  <r>
    <x v="141"/>
    <n v="548.94000000000005"/>
    <n v="931"/>
    <x v="3"/>
    <x v="17"/>
    <n v="511063.14000000007"/>
  </r>
  <r>
    <x v="142"/>
    <n v="774.47"/>
    <n v="125"/>
    <x v="1"/>
    <x v="17"/>
    <n v="96808.75"/>
  </r>
  <r>
    <x v="143"/>
    <n v="909.21"/>
    <n v="16"/>
    <x v="3"/>
    <x v="15"/>
    <n v="14547.36"/>
  </r>
  <r>
    <x v="144"/>
    <n v="497.51"/>
    <n v="130"/>
    <x v="0"/>
    <x v="0"/>
    <n v="64676.299999999996"/>
  </r>
  <r>
    <x v="145"/>
    <n v="433.37"/>
    <n v="362"/>
    <x v="2"/>
    <x v="23"/>
    <n v="156879.94"/>
  </r>
  <r>
    <x v="146"/>
    <n v="388.74"/>
    <n v="440"/>
    <x v="3"/>
    <x v="38"/>
    <n v="171045.6"/>
  </r>
  <r>
    <x v="147"/>
    <n v="869.1"/>
    <n v="10"/>
    <x v="2"/>
    <x v="23"/>
    <n v="8691"/>
  </r>
  <r>
    <x v="148"/>
    <n v="350.24"/>
    <n v="515"/>
    <x v="0"/>
    <x v="38"/>
    <n v="180373.6"/>
  </r>
  <r>
    <x v="149"/>
    <n v="364.26"/>
    <n v="705"/>
    <x v="3"/>
    <x v="46"/>
    <n v="256803.3"/>
  </r>
  <r>
    <x v="150"/>
    <n v="976.37"/>
    <n v="597"/>
    <x v="1"/>
    <x v="20"/>
    <n v="582892.89"/>
  </r>
  <r>
    <x v="120"/>
    <n v="737.63"/>
    <n v="725"/>
    <x v="0"/>
    <x v="0"/>
    <n v="534781.75"/>
  </r>
  <r>
    <x v="151"/>
    <n v="286.83999999999997"/>
    <n v="302"/>
    <x v="0"/>
    <x v="14"/>
    <n v="86625.68"/>
  </r>
  <r>
    <x v="152"/>
    <n v="462.88"/>
    <n v="55"/>
    <x v="0"/>
    <x v="53"/>
    <n v="25458.400000000001"/>
  </r>
  <r>
    <x v="153"/>
    <n v="809.61"/>
    <n v="261"/>
    <x v="3"/>
    <x v="13"/>
    <n v="211308.21"/>
  </r>
  <r>
    <x v="135"/>
    <n v="125.87"/>
    <n v="483"/>
    <x v="1"/>
    <x v="24"/>
    <n v="60795.21"/>
  </r>
  <r>
    <x v="154"/>
    <n v="773.46"/>
    <n v="755"/>
    <x v="1"/>
    <x v="0"/>
    <n v="583962.30000000005"/>
  </r>
  <r>
    <x v="155"/>
    <n v="779.49"/>
    <n v="970"/>
    <x v="2"/>
    <x v="15"/>
    <n v="756105.3"/>
  </r>
  <r>
    <x v="156"/>
    <n v="327.83"/>
    <n v="177"/>
    <x v="3"/>
    <x v="33"/>
    <n v="58025.909999999996"/>
  </r>
  <r>
    <x v="157"/>
    <n v="316.67"/>
    <n v="414"/>
    <x v="3"/>
    <x v="54"/>
    <n v="131101.38"/>
  </r>
  <r>
    <x v="158"/>
    <n v="885.16"/>
    <n v="740"/>
    <x v="1"/>
    <x v="0"/>
    <n v="655018.4"/>
  </r>
  <r>
    <x v="159"/>
    <n v="468.26"/>
    <n v="262"/>
    <x v="4"/>
    <x v="47"/>
    <n v="122684.12"/>
  </r>
  <r>
    <x v="160"/>
    <n v="349.87"/>
    <n v="310"/>
    <x v="0"/>
    <x v="24"/>
    <n v="108459.7"/>
  </r>
  <r>
    <x v="161"/>
    <n v="938.37"/>
    <n v="541"/>
    <x v="3"/>
    <x v="24"/>
    <n v="507658.17"/>
  </r>
  <r>
    <x v="162"/>
    <n v="940.79"/>
    <n v="364"/>
    <x v="2"/>
    <x v="54"/>
    <n v="342447.56"/>
  </r>
  <r>
    <x v="163"/>
    <n v="367.61"/>
    <n v="541"/>
    <x v="4"/>
    <x v="36"/>
    <n v="198877.01"/>
  </r>
  <r>
    <x v="164"/>
    <n v="606.17999999999995"/>
    <n v="705"/>
    <x v="2"/>
    <x v="55"/>
    <n v="427356.89999999997"/>
  </r>
  <r>
    <x v="165"/>
    <n v="457.49"/>
    <n v="680"/>
    <x v="4"/>
    <x v="24"/>
    <n v="311093.2"/>
  </r>
  <r>
    <x v="166"/>
    <n v="226.66"/>
    <n v="826"/>
    <x v="0"/>
    <x v="33"/>
    <n v="187221.16"/>
  </r>
  <r>
    <x v="119"/>
    <n v="211.02"/>
    <n v="833"/>
    <x v="1"/>
    <x v="0"/>
    <n v="175779.66"/>
  </r>
  <r>
    <x v="167"/>
    <n v="362.17"/>
    <n v="472"/>
    <x v="4"/>
    <x v="56"/>
    <n v="170944.24000000002"/>
  </r>
  <r>
    <x v="168"/>
    <n v="996.85"/>
    <n v="363"/>
    <x v="0"/>
    <x v="57"/>
    <n v="361856.55"/>
  </r>
  <r>
    <x v="37"/>
    <n v="347.28"/>
    <n v="17"/>
    <x v="2"/>
    <x v="24"/>
    <n v="5903.7599999999993"/>
  </r>
  <r>
    <x v="4"/>
    <n v="34.51"/>
    <n v="112"/>
    <x v="4"/>
    <x v="3"/>
    <n v="3865.12"/>
  </r>
  <r>
    <x v="169"/>
    <n v="392.84"/>
    <n v="380"/>
    <x v="4"/>
    <x v="24"/>
    <n v="149279.19999999998"/>
  </r>
  <r>
    <x v="170"/>
    <n v="399.16"/>
    <n v="961"/>
    <x v="3"/>
    <x v="26"/>
    <n v="383592.76"/>
  </r>
  <r>
    <x v="171"/>
    <n v="541.29"/>
    <n v="823"/>
    <x v="0"/>
    <x v="58"/>
    <n v="445481.67"/>
  </r>
  <r>
    <x v="172"/>
    <n v="309.07"/>
    <n v="466"/>
    <x v="1"/>
    <x v="22"/>
    <n v="144026.62"/>
  </r>
  <r>
    <x v="173"/>
    <n v="744.19"/>
    <n v="583"/>
    <x v="0"/>
    <x v="20"/>
    <n v="433862.77"/>
  </r>
  <r>
    <x v="174"/>
    <n v="125.02"/>
    <n v="190"/>
    <x v="3"/>
    <x v="27"/>
    <n v="23753.8"/>
  </r>
  <r>
    <x v="175"/>
    <n v="695.76"/>
    <n v="567"/>
    <x v="4"/>
    <x v="14"/>
    <n v="394495.92"/>
  </r>
  <r>
    <x v="176"/>
    <n v="959.68"/>
    <n v="271"/>
    <x v="0"/>
    <x v="15"/>
    <n v="260073.28"/>
  </r>
  <r>
    <x v="177"/>
    <n v="87.26"/>
    <n v="828"/>
    <x v="4"/>
    <x v="59"/>
    <n v="72251.28"/>
  </r>
  <r>
    <x v="178"/>
    <n v="482.82"/>
    <n v="455"/>
    <x v="3"/>
    <x v="40"/>
    <n v="219683.1"/>
  </r>
  <r>
    <x v="179"/>
    <n v="851.07"/>
    <n v="539"/>
    <x v="1"/>
    <x v="12"/>
    <n v="458726.73000000004"/>
  </r>
  <r>
    <x v="180"/>
    <n v="463.07"/>
    <n v="717"/>
    <x v="4"/>
    <x v="20"/>
    <n v="332021.19"/>
  </r>
  <r>
    <x v="181"/>
    <n v="951.43"/>
    <n v="155"/>
    <x v="1"/>
    <x v="60"/>
    <n v="147471.65"/>
  </r>
  <r>
    <x v="182"/>
    <n v="101.42"/>
    <n v="753"/>
    <x v="0"/>
    <x v="20"/>
    <n v="76369.259999999995"/>
  </r>
  <r>
    <x v="183"/>
    <n v="638.62"/>
    <n v="631"/>
    <x v="2"/>
    <x v="53"/>
    <n v="402969.22000000003"/>
  </r>
  <r>
    <x v="184"/>
    <n v="114.92"/>
    <n v="482"/>
    <x v="0"/>
    <x v="24"/>
    <n v="55391.44"/>
  </r>
  <r>
    <x v="185"/>
    <n v="247.48"/>
    <n v="14"/>
    <x v="3"/>
    <x v="2"/>
    <n v="3464.72"/>
  </r>
  <r>
    <x v="186"/>
    <n v="250.66"/>
    <n v="740"/>
    <x v="4"/>
    <x v="0"/>
    <n v="185488.4"/>
  </r>
  <r>
    <x v="187"/>
    <n v="430.71"/>
    <n v="932"/>
    <x v="1"/>
    <x v="38"/>
    <n v="401421.72"/>
  </r>
  <r>
    <x v="188"/>
    <n v="903.86"/>
    <n v="939"/>
    <x v="3"/>
    <x v="17"/>
    <n v="848724.54"/>
  </r>
  <r>
    <x v="189"/>
    <n v="832.25"/>
    <n v="154"/>
    <x v="2"/>
    <x v="6"/>
    <n v="128166.5"/>
  </r>
  <r>
    <x v="190"/>
    <n v="574.04"/>
    <n v="567"/>
    <x v="4"/>
    <x v="10"/>
    <n v="325480.68"/>
  </r>
  <r>
    <x v="191"/>
    <n v="844.69"/>
    <n v="109"/>
    <x v="1"/>
    <x v="61"/>
    <n v="92071.21"/>
  </r>
  <r>
    <x v="192"/>
    <n v="496.61"/>
    <n v="23"/>
    <x v="2"/>
    <x v="24"/>
    <n v="11422.03"/>
  </r>
  <r>
    <x v="193"/>
    <n v="139.30000000000001"/>
    <n v="628"/>
    <x v="4"/>
    <x v="58"/>
    <n v="87480.400000000009"/>
  </r>
  <r>
    <x v="194"/>
    <n v="629.66999999999996"/>
    <n v="596"/>
    <x v="2"/>
    <x v="19"/>
    <n v="375283.31999999995"/>
  </r>
  <r>
    <x v="195"/>
    <n v="872.15"/>
    <n v="971"/>
    <x v="3"/>
    <x v="33"/>
    <n v="846857.65"/>
  </r>
  <r>
    <x v="196"/>
    <n v="461.81"/>
    <n v="910"/>
    <x v="4"/>
    <x v="23"/>
    <n v="420247.1"/>
  </r>
  <r>
    <x v="197"/>
    <n v="158.85"/>
    <n v="522"/>
    <x v="2"/>
    <x v="23"/>
    <n v="82919.7"/>
  </r>
  <r>
    <x v="198"/>
    <n v="991.81"/>
    <n v="449"/>
    <x v="3"/>
    <x v="44"/>
    <n v="445322.69"/>
  </r>
  <r>
    <x v="199"/>
    <n v="777.77"/>
    <n v="532"/>
    <x v="2"/>
    <x v="33"/>
    <n v="413773.64"/>
  </r>
  <r>
    <x v="200"/>
    <n v="931.76"/>
    <n v="519"/>
    <x v="2"/>
    <x v="13"/>
    <n v="483583.44"/>
  </r>
  <r>
    <x v="201"/>
    <n v="525.30999999999995"/>
    <n v="983"/>
    <x v="3"/>
    <x v="15"/>
    <n v="516379.72999999992"/>
  </r>
  <r>
    <x v="202"/>
    <n v="41.46"/>
    <n v="300"/>
    <x v="2"/>
    <x v="2"/>
    <n v="12438"/>
  </r>
  <r>
    <x v="203"/>
    <n v="525.54"/>
    <n v="960"/>
    <x v="4"/>
    <x v="2"/>
    <n v="504518.39999999997"/>
  </r>
  <r>
    <x v="204"/>
    <n v="21.95"/>
    <n v="245"/>
    <x v="4"/>
    <x v="22"/>
    <n v="5377.75"/>
  </r>
  <r>
    <x v="205"/>
    <n v="713.36"/>
    <n v="136"/>
    <x v="1"/>
    <x v="10"/>
    <n v="97016.960000000006"/>
  </r>
  <r>
    <x v="206"/>
    <n v="65.64"/>
    <n v="981"/>
    <x v="2"/>
    <x v="33"/>
    <n v="64392.840000000004"/>
  </r>
  <r>
    <x v="207"/>
    <n v="490.99"/>
    <n v="828"/>
    <x v="0"/>
    <x v="62"/>
    <n v="406539.72000000003"/>
  </r>
  <r>
    <x v="208"/>
    <n v="173.23"/>
    <n v="557"/>
    <x v="1"/>
    <x v="63"/>
    <n v="96489.11"/>
  </r>
  <r>
    <x v="209"/>
    <n v="170"/>
    <n v="20"/>
    <x v="2"/>
    <x v="7"/>
    <n v="3400"/>
  </r>
  <r>
    <x v="210"/>
    <n v="52.99"/>
    <n v="964"/>
    <x v="0"/>
    <x v="0"/>
    <n v="51082.36"/>
  </r>
  <r>
    <x v="211"/>
    <n v="943.67"/>
    <n v="359"/>
    <x v="2"/>
    <x v="58"/>
    <n v="338777.52999999997"/>
  </r>
  <r>
    <x v="212"/>
    <n v="479.41"/>
    <n v="907"/>
    <x v="1"/>
    <x v="24"/>
    <n v="434824.87"/>
  </r>
  <r>
    <x v="213"/>
    <n v="669.77"/>
    <n v="415"/>
    <x v="2"/>
    <x v="33"/>
    <n v="277954.55"/>
  </r>
  <r>
    <x v="214"/>
    <n v="142.80000000000001"/>
    <n v="596"/>
    <x v="1"/>
    <x v="10"/>
    <n v="85108.800000000003"/>
  </r>
  <r>
    <x v="188"/>
    <n v="768.15"/>
    <n v="701"/>
    <x v="0"/>
    <x v="17"/>
    <n v="538473.15"/>
  </r>
  <r>
    <x v="215"/>
    <n v="669.17"/>
    <n v="318"/>
    <x v="3"/>
    <x v="64"/>
    <n v="212796.06"/>
  </r>
  <r>
    <x v="216"/>
    <n v="650.97"/>
    <n v="73"/>
    <x v="3"/>
    <x v="23"/>
    <n v="47520.810000000005"/>
  </r>
  <r>
    <x v="217"/>
    <n v="74.12"/>
    <n v="173"/>
    <x v="3"/>
    <x v="24"/>
    <n v="12822.76"/>
  </r>
  <r>
    <x v="218"/>
    <n v="325.25"/>
    <n v="296"/>
    <x v="2"/>
    <x v="20"/>
    <n v="96274"/>
  </r>
  <r>
    <x v="219"/>
    <n v="217.99"/>
    <n v="775"/>
    <x v="3"/>
    <x v="65"/>
    <n v="168942.25"/>
  </r>
  <r>
    <x v="220"/>
    <n v="868.83"/>
    <n v="583"/>
    <x v="2"/>
    <x v="24"/>
    <n v="506527.89"/>
  </r>
  <r>
    <x v="221"/>
    <n v="403.41"/>
    <n v="425"/>
    <x v="0"/>
    <x v="31"/>
    <n v="171449.25"/>
  </r>
  <r>
    <x v="222"/>
    <n v="648.97"/>
    <n v="346"/>
    <x v="0"/>
    <x v="22"/>
    <n v="224543.62"/>
  </r>
  <r>
    <x v="223"/>
    <n v="919.76"/>
    <n v="775"/>
    <x v="0"/>
    <x v="22"/>
    <n v="712814"/>
  </r>
  <r>
    <x v="224"/>
    <n v="135.83000000000001"/>
    <n v="788"/>
    <x v="1"/>
    <x v="45"/>
    <n v="107034.04000000001"/>
  </r>
  <r>
    <x v="225"/>
    <n v="261.08"/>
    <n v="23"/>
    <x v="1"/>
    <x v="20"/>
    <n v="6004.8399999999992"/>
  </r>
  <r>
    <x v="226"/>
    <n v="252.27"/>
    <n v="566"/>
    <x v="2"/>
    <x v="14"/>
    <n v="142784.82"/>
  </r>
  <r>
    <x v="208"/>
    <n v="252.36"/>
    <n v="206"/>
    <x v="0"/>
    <x v="63"/>
    <n v="51986.16"/>
  </r>
  <r>
    <x v="133"/>
    <n v="352.82"/>
    <n v="414"/>
    <x v="2"/>
    <x v="24"/>
    <n v="146067.48000000001"/>
  </r>
  <r>
    <x v="224"/>
    <n v="844.58"/>
    <n v="580"/>
    <x v="0"/>
    <x v="45"/>
    <n v="489856.4"/>
  </r>
  <r>
    <x v="227"/>
    <n v="642.04"/>
    <n v="183"/>
    <x v="3"/>
    <x v="65"/>
    <n v="117493.31999999999"/>
  </r>
  <r>
    <x v="228"/>
    <n v="252.77"/>
    <n v="560"/>
    <x v="2"/>
    <x v="10"/>
    <n v="141551.20000000001"/>
  </r>
  <r>
    <x v="229"/>
    <n v="843.64"/>
    <n v="971"/>
    <x v="0"/>
    <x v="7"/>
    <n v="819174.44"/>
  </r>
  <r>
    <x v="230"/>
    <n v="29.88"/>
    <n v="738"/>
    <x v="3"/>
    <x v="6"/>
    <n v="22051.439999999999"/>
  </r>
  <r>
    <x v="231"/>
    <n v="532.69000000000005"/>
    <n v="426"/>
    <x v="0"/>
    <x v="66"/>
    <n v="226925.94000000003"/>
  </r>
  <r>
    <x v="130"/>
    <n v="823.3"/>
    <n v="122"/>
    <x v="1"/>
    <x v="52"/>
    <n v="100442.59999999999"/>
  </r>
  <r>
    <x v="232"/>
    <n v="494.85"/>
    <n v="149"/>
    <x v="4"/>
    <x v="29"/>
    <n v="73732.650000000009"/>
  </r>
  <r>
    <x v="233"/>
    <n v="168.28"/>
    <n v="95"/>
    <x v="1"/>
    <x v="67"/>
    <n v="15986.6"/>
  </r>
  <r>
    <x v="234"/>
    <n v="409.1"/>
    <n v="495"/>
    <x v="3"/>
    <x v="10"/>
    <n v="202504.5"/>
  </r>
  <r>
    <x v="235"/>
    <n v="520.86"/>
    <n v="778"/>
    <x v="1"/>
    <x v="0"/>
    <n v="405229.08"/>
  </r>
  <r>
    <x v="236"/>
    <n v="952.49"/>
    <n v="727"/>
    <x v="3"/>
    <x v="28"/>
    <n v="692460.23"/>
  </r>
  <r>
    <x v="237"/>
    <n v="836.08"/>
    <n v="977"/>
    <x v="2"/>
    <x v="15"/>
    <n v="816850.16"/>
  </r>
  <r>
    <x v="238"/>
    <n v="175.92"/>
    <n v="397"/>
    <x v="3"/>
    <x v="20"/>
    <n v="69840.239999999991"/>
  </r>
  <r>
    <x v="239"/>
    <n v="987.36"/>
    <n v="99"/>
    <x v="0"/>
    <x v="15"/>
    <n v="97748.64"/>
  </r>
  <r>
    <x v="240"/>
    <n v="97.67"/>
    <n v="258"/>
    <x v="1"/>
    <x v="36"/>
    <n v="25198.86"/>
  </r>
  <r>
    <x v="241"/>
    <n v="87.05"/>
    <n v="392"/>
    <x v="3"/>
    <x v="68"/>
    <n v="34123.599999999999"/>
  </r>
  <r>
    <x v="132"/>
    <n v="645.27"/>
    <n v="613"/>
    <x v="0"/>
    <x v="31"/>
    <n v="395550.51"/>
  </r>
  <r>
    <x v="242"/>
    <n v="445.18"/>
    <n v="782"/>
    <x v="4"/>
    <x v="8"/>
    <n v="348130.76"/>
  </r>
  <r>
    <x v="243"/>
    <n v="238.73"/>
    <n v="448"/>
    <x v="3"/>
    <x v="69"/>
    <n v="106951.03999999999"/>
  </r>
  <r>
    <x v="244"/>
    <n v="525.13"/>
    <n v="873"/>
    <x v="3"/>
    <x v="64"/>
    <n v="458438.49"/>
  </r>
  <r>
    <x v="245"/>
    <n v="170.1"/>
    <n v="247"/>
    <x v="1"/>
    <x v="70"/>
    <n v="42014.7"/>
  </r>
  <r>
    <x v="246"/>
    <n v="306.83999999999997"/>
    <n v="624"/>
    <x v="2"/>
    <x v="10"/>
    <n v="191468.15999999997"/>
  </r>
  <r>
    <x v="247"/>
    <n v="712.5"/>
    <n v="507"/>
    <x v="1"/>
    <x v="24"/>
    <n v="361237.5"/>
  </r>
  <r>
    <x v="248"/>
    <n v="39.79"/>
    <n v="786"/>
    <x v="4"/>
    <x v="29"/>
    <n v="31274.94"/>
  </r>
  <r>
    <x v="249"/>
    <n v="268.22000000000003"/>
    <n v="612"/>
    <x v="2"/>
    <x v="23"/>
    <n v="164150.64000000001"/>
  </r>
  <r>
    <x v="161"/>
    <n v="809.67"/>
    <n v="346"/>
    <x v="1"/>
    <x v="24"/>
    <n v="280145.82"/>
  </r>
  <r>
    <x v="250"/>
    <n v="467.64"/>
    <n v="447"/>
    <x v="0"/>
    <x v="46"/>
    <n v="209035.08"/>
  </r>
  <r>
    <x v="251"/>
    <n v="641.1"/>
    <n v="340"/>
    <x v="4"/>
    <x v="36"/>
    <n v="217974"/>
  </r>
  <r>
    <x v="252"/>
    <n v="275.04000000000002"/>
    <n v="192"/>
    <x v="2"/>
    <x v="27"/>
    <n v="52807.680000000008"/>
  </r>
  <r>
    <x v="253"/>
    <n v="229.14"/>
    <n v="588"/>
    <x v="4"/>
    <x v="15"/>
    <n v="134734.31999999998"/>
  </r>
  <r>
    <x v="164"/>
    <n v="93.01"/>
    <n v="829"/>
    <x v="3"/>
    <x v="55"/>
    <n v="77105.290000000008"/>
  </r>
  <r>
    <x v="254"/>
    <n v="261.86"/>
    <n v="955"/>
    <x v="4"/>
    <x v="0"/>
    <n v="250076.30000000002"/>
  </r>
  <r>
    <x v="255"/>
    <n v="400.13"/>
    <n v="492"/>
    <x v="2"/>
    <x v="46"/>
    <n v="196863.96"/>
  </r>
  <r>
    <x v="192"/>
    <n v="535.07000000000005"/>
    <n v="880"/>
    <x v="2"/>
    <x v="24"/>
    <n v="470861.60000000003"/>
  </r>
  <r>
    <x v="256"/>
    <n v="844.26"/>
    <n v="689"/>
    <x v="0"/>
    <x v="36"/>
    <n v="581695.14"/>
  </r>
  <r>
    <x v="257"/>
    <n v="627.87"/>
    <n v="798"/>
    <x v="1"/>
    <x v="0"/>
    <n v="501040.26"/>
  </r>
  <r>
    <x v="258"/>
    <n v="981.96"/>
    <n v="3"/>
    <x v="3"/>
    <x v="12"/>
    <n v="2945.88"/>
  </r>
  <r>
    <x v="259"/>
    <n v="440.81"/>
    <n v="777"/>
    <x v="3"/>
    <x v="24"/>
    <n v="342509.37"/>
  </r>
  <r>
    <x v="260"/>
    <n v="215.86"/>
    <n v="129"/>
    <x v="4"/>
    <x v="65"/>
    <n v="27845.940000000002"/>
  </r>
  <r>
    <x v="72"/>
    <n v="559.35"/>
    <n v="154"/>
    <x v="3"/>
    <x v="0"/>
    <n v="86139.900000000009"/>
  </r>
  <r>
    <x v="261"/>
    <n v="95.6"/>
    <n v="31"/>
    <x v="4"/>
    <x v="22"/>
    <n v="2963.6"/>
  </r>
  <r>
    <x v="262"/>
    <n v="962.93"/>
    <n v="264"/>
    <x v="2"/>
    <x v="24"/>
    <n v="254213.52"/>
  </r>
  <r>
    <x v="263"/>
    <n v="460.86"/>
    <n v="47"/>
    <x v="0"/>
    <x v="4"/>
    <n v="21660.420000000002"/>
  </r>
  <r>
    <x v="3"/>
    <n v="105.46"/>
    <n v="843"/>
    <x v="0"/>
    <x v="2"/>
    <n v="88902.78"/>
  </r>
  <r>
    <x v="264"/>
    <n v="306.79000000000002"/>
    <n v="74"/>
    <x v="0"/>
    <x v="17"/>
    <n v="22702.460000000003"/>
  </r>
  <r>
    <x v="265"/>
    <n v="384.28"/>
    <n v="780"/>
    <x v="0"/>
    <x v="15"/>
    <n v="299738.39999999997"/>
  </r>
  <r>
    <x v="266"/>
    <n v="97.23"/>
    <n v="84"/>
    <x v="0"/>
    <x v="31"/>
    <n v="8167.3200000000006"/>
  </r>
  <r>
    <x v="267"/>
    <n v="268.93"/>
    <n v="802"/>
    <x v="0"/>
    <x v="71"/>
    <n v="215681.86000000002"/>
  </r>
  <r>
    <x v="268"/>
    <n v="213.62"/>
    <n v="903"/>
    <x v="3"/>
    <x v="0"/>
    <n v="192898.86000000002"/>
  </r>
  <r>
    <x v="138"/>
    <n v="416.12"/>
    <n v="7"/>
    <x v="3"/>
    <x v="51"/>
    <n v="2912.84"/>
  </r>
  <r>
    <x v="269"/>
    <n v="787.69"/>
    <n v="692"/>
    <x v="4"/>
    <x v="1"/>
    <n v="545081.48"/>
  </r>
  <r>
    <x v="270"/>
    <n v="913.73"/>
    <n v="724"/>
    <x v="2"/>
    <x v="24"/>
    <n v="661540.52"/>
  </r>
  <r>
    <x v="271"/>
    <n v="487.93"/>
    <n v="720"/>
    <x v="0"/>
    <x v="20"/>
    <n v="351309.6"/>
  </r>
  <r>
    <x v="272"/>
    <n v="467.41"/>
    <n v="856"/>
    <x v="0"/>
    <x v="1"/>
    <n v="400102.96"/>
  </r>
  <r>
    <x v="273"/>
    <n v="878.49"/>
    <n v="374"/>
    <x v="3"/>
    <x v="14"/>
    <n v="328555.26"/>
  </r>
  <r>
    <x v="274"/>
    <n v="10.31"/>
    <n v="425"/>
    <x v="0"/>
    <x v="44"/>
    <n v="4381.75"/>
  </r>
  <r>
    <x v="275"/>
    <n v="483.43"/>
    <n v="804"/>
    <x v="1"/>
    <x v="1"/>
    <n v="388677.72000000003"/>
  </r>
  <r>
    <x v="276"/>
    <n v="446.72"/>
    <n v="257"/>
    <x v="3"/>
    <x v="0"/>
    <n v="114807.04000000001"/>
  </r>
  <r>
    <x v="277"/>
    <n v="530.83000000000004"/>
    <n v="984"/>
    <x v="4"/>
    <x v="4"/>
    <n v="522336.72000000003"/>
  </r>
  <r>
    <x v="5"/>
    <n v="285.02"/>
    <n v="684"/>
    <x v="0"/>
    <x v="4"/>
    <n v="194953.68"/>
  </r>
  <r>
    <x v="278"/>
    <n v="922.09"/>
    <n v="172"/>
    <x v="4"/>
    <x v="51"/>
    <n v="158599.48000000001"/>
  </r>
  <r>
    <x v="279"/>
    <n v="385.46"/>
    <n v="535"/>
    <x v="1"/>
    <x v="65"/>
    <n v="206221.09999999998"/>
  </r>
  <r>
    <x v="280"/>
    <n v="494.57"/>
    <n v="440"/>
    <x v="2"/>
    <x v="54"/>
    <n v="217610.8"/>
  </r>
  <r>
    <x v="281"/>
    <n v="549.15"/>
    <n v="964"/>
    <x v="0"/>
    <x v="15"/>
    <n v="529380.6"/>
  </r>
  <r>
    <x v="282"/>
    <n v="188.43"/>
    <n v="261"/>
    <x v="1"/>
    <x v="5"/>
    <n v="49180.23"/>
  </r>
  <r>
    <x v="283"/>
    <n v="448.06"/>
    <n v="6"/>
    <x v="1"/>
    <x v="24"/>
    <n v="2688.36"/>
  </r>
  <r>
    <x v="284"/>
    <n v="564.67999999999995"/>
    <n v="864"/>
    <x v="1"/>
    <x v="57"/>
    <n v="487883.51999999996"/>
  </r>
  <r>
    <x v="285"/>
    <n v="154.21"/>
    <n v="579"/>
    <x v="1"/>
    <x v="31"/>
    <n v="89287.590000000011"/>
  </r>
  <r>
    <x v="286"/>
    <n v="609.46"/>
    <n v="69"/>
    <x v="3"/>
    <x v="34"/>
    <n v="42052.740000000005"/>
  </r>
  <r>
    <x v="287"/>
    <n v="378.83"/>
    <n v="109"/>
    <x v="0"/>
    <x v="1"/>
    <n v="41292.47"/>
  </r>
  <r>
    <x v="288"/>
    <n v="524.88"/>
    <n v="602"/>
    <x v="0"/>
    <x v="70"/>
    <n v="315977.76"/>
  </r>
  <r>
    <x v="289"/>
    <n v="41.65"/>
    <n v="332"/>
    <x v="4"/>
    <x v="72"/>
    <n v="13827.8"/>
  </r>
  <r>
    <x v="290"/>
    <n v="499.88"/>
    <n v="479"/>
    <x v="0"/>
    <x v="5"/>
    <n v="239442.52"/>
  </r>
  <r>
    <x v="67"/>
    <n v="417.78"/>
    <n v="362"/>
    <x v="4"/>
    <x v="34"/>
    <n v="151236.35999999999"/>
  </r>
  <r>
    <x v="291"/>
    <n v="81.96"/>
    <n v="191"/>
    <x v="4"/>
    <x v="24"/>
    <n v="15654.359999999999"/>
  </r>
  <r>
    <x v="292"/>
    <n v="107.05"/>
    <n v="851"/>
    <x v="2"/>
    <x v="2"/>
    <n v="91099.55"/>
  </r>
  <r>
    <x v="293"/>
    <n v="27.31"/>
    <n v="603"/>
    <x v="4"/>
    <x v="70"/>
    <n v="16467.93"/>
  </r>
  <r>
    <x v="294"/>
    <n v="59.25"/>
    <n v="22"/>
    <x v="2"/>
    <x v="24"/>
    <n v="1303.5"/>
  </r>
  <r>
    <x v="84"/>
    <n v="212.69"/>
    <n v="772"/>
    <x v="0"/>
    <x v="14"/>
    <n v="164196.68"/>
  </r>
  <r>
    <x v="295"/>
    <n v="874.94"/>
    <n v="299"/>
    <x v="0"/>
    <x v="1"/>
    <n v="261607.06000000003"/>
  </r>
  <r>
    <x v="261"/>
    <n v="927.88"/>
    <n v="15"/>
    <x v="4"/>
    <x v="22"/>
    <n v="13918.2"/>
  </r>
  <r>
    <x v="296"/>
    <n v="377.55"/>
    <n v="163"/>
    <x v="0"/>
    <x v="10"/>
    <n v="61540.65"/>
  </r>
  <r>
    <x v="297"/>
    <n v="590.20000000000005"/>
    <n v="756"/>
    <x v="0"/>
    <x v="38"/>
    <n v="446191.2"/>
  </r>
  <r>
    <x v="298"/>
    <n v="415.57"/>
    <n v="689"/>
    <x v="2"/>
    <x v="34"/>
    <n v="286327.73"/>
  </r>
  <r>
    <x v="299"/>
    <n v="279.18"/>
    <n v="640"/>
    <x v="1"/>
    <x v="73"/>
    <n v="178675.20000000001"/>
  </r>
  <r>
    <x v="300"/>
    <n v="942.31"/>
    <n v="197"/>
    <x v="0"/>
    <x v="22"/>
    <n v="185635.06999999998"/>
  </r>
  <r>
    <x v="301"/>
    <n v="281.02999999999997"/>
    <n v="641"/>
    <x v="4"/>
    <x v="74"/>
    <n v="180140.22999999998"/>
  </r>
  <r>
    <x v="122"/>
    <n v="496.89"/>
    <n v="689"/>
    <x v="3"/>
    <x v="21"/>
    <n v="342357.20999999996"/>
  </r>
  <r>
    <x v="52"/>
    <n v="581.36"/>
    <n v="951"/>
    <x v="2"/>
    <x v="30"/>
    <n v="552873.36"/>
  </r>
  <r>
    <x v="302"/>
    <n v="981.65"/>
    <n v="839"/>
    <x v="0"/>
    <x v="33"/>
    <n v="823604.35"/>
  </r>
  <r>
    <x v="303"/>
    <n v="674.62"/>
    <n v="150"/>
    <x v="0"/>
    <x v="38"/>
    <n v="101193"/>
  </r>
  <r>
    <x v="304"/>
    <n v="121.58"/>
    <n v="432"/>
    <x v="1"/>
    <x v="15"/>
    <n v="52522.559999999998"/>
  </r>
  <r>
    <x v="51"/>
    <n v="818.54"/>
    <n v="129"/>
    <x v="4"/>
    <x v="15"/>
    <n v="105591.65999999999"/>
  </r>
  <r>
    <x v="305"/>
    <n v="308.85000000000002"/>
    <n v="23"/>
    <x v="2"/>
    <x v="14"/>
    <n v="7103.55"/>
  </r>
  <r>
    <x v="89"/>
    <n v="574.71"/>
    <n v="772"/>
    <x v="1"/>
    <x v="4"/>
    <n v="443676.12000000005"/>
  </r>
  <r>
    <x v="306"/>
    <n v="632.57000000000005"/>
    <n v="496"/>
    <x v="4"/>
    <x v="13"/>
    <n v="313754.72000000003"/>
  </r>
  <r>
    <x v="307"/>
    <n v="463.43"/>
    <n v="202"/>
    <x v="3"/>
    <x v="75"/>
    <n v="93612.86"/>
  </r>
  <r>
    <x v="308"/>
    <n v="363.21"/>
    <n v="727"/>
    <x v="1"/>
    <x v="24"/>
    <n v="264053.67"/>
  </r>
  <r>
    <x v="309"/>
    <n v="934.06"/>
    <n v="335"/>
    <x v="2"/>
    <x v="24"/>
    <n v="312910.09999999998"/>
  </r>
  <r>
    <x v="310"/>
    <n v="885.43"/>
    <n v="480"/>
    <x v="4"/>
    <x v="24"/>
    <n v="425006.39999999997"/>
  </r>
  <r>
    <x v="311"/>
    <n v="192.36"/>
    <n v="888"/>
    <x v="2"/>
    <x v="76"/>
    <n v="170815.68000000002"/>
  </r>
  <r>
    <x v="312"/>
    <n v="507.85"/>
    <n v="681"/>
    <x v="4"/>
    <x v="77"/>
    <n v="345845.85000000003"/>
  </r>
  <r>
    <x v="313"/>
    <n v="571.99"/>
    <n v="998"/>
    <x v="4"/>
    <x v="24"/>
    <n v="570846.02"/>
  </r>
  <r>
    <x v="314"/>
    <n v="471.88"/>
    <n v="92"/>
    <x v="2"/>
    <x v="44"/>
    <n v="43412.959999999999"/>
  </r>
  <r>
    <x v="315"/>
    <n v="420.65"/>
    <n v="94"/>
    <x v="0"/>
    <x v="34"/>
    <n v="39541.1"/>
  </r>
  <r>
    <x v="316"/>
    <n v="691.85"/>
    <n v="172"/>
    <x v="1"/>
    <x v="78"/>
    <n v="118998.2"/>
  </r>
  <r>
    <x v="317"/>
    <n v="487.98"/>
    <n v="696"/>
    <x v="1"/>
    <x v="15"/>
    <n v="339634.08"/>
  </r>
  <r>
    <x v="318"/>
    <n v="378.51"/>
    <n v="107"/>
    <x v="4"/>
    <x v="15"/>
    <n v="40500.57"/>
  </r>
  <r>
    <x v="319"/>
    <n v="465.03"/>
    <n v="480"/>
    <x v="2"/>
    <x v="24"/>
    <n v="223214.4"/>
  </r>
  <r>
    <x v="8"/>
    <n v="124.26"/>
    <n v="199"/>
    <x v="0"/>
    <x v="6"/>
    <n v="24727.74"/>
  </r>
  <r>
    <x v="320"/>
    <n v="955.74"/>
    <n v="600"/>
    <x v="0"/>
    <x v="0"/>
    <n v="573444"/>
  </r>
  <r>
    <x v="146"/>
    <n v="748.72"/>
    <n v="709"/>
    <x v="1"/>
    <x v="38"/>
    <n v="530842.48"/>
  </r>
  <r>
    <x v="321"/>
    <n v="187.88"/>
    <n v="23"/>
    <x v="0"/>
    <x v="57"/>
    <n v="4321.24"/>
  </r>
  <r>
    <x v="322"/>
    <n v="880.95"/>
    <n v="17"/>
    <x v="3"/>
    <x v="13"/>
    <n v="14976.150000000001"/>
  </r>
  <r>
    <x v="323"/>
    <n v="158.38999999999999"/>
    <n v="669"/>
    <x v="0"/>
    <x v="20"/>
    <n v="105962.90999999999"/>
  </r>
  <r>
    <x v="324"/>
    <n v="664.74"/>
    <n v="443"/>
    <x v="2"/>
    <x v="17"/>
    <n v="294479.82"/>
  </r>
  <r>
    <x v="325"/>
    <n v="502.53"/>
    <n v="962"/>
    <x v="0"/>
    <x v="79"/>
    <n v="483433.86"/>
  </r>
  <r>
    <x v="226"/>
    <n v="163.89"/>
    <n v="196"/>
    <x v="2"/>
    <x v="14"/>
    <n v="32122.44"/>
  </r>
  <r>
    <x v="306"/>
    <n v="260.06"/>
    <n v="176"/>
    <x v="2"/>
    <x v="13"/>
    <n v="45770.559999999998"/>
  </r>
  <r>
    <x v="196"/>
    <n v="216.3"/>
    <n v="430"/>
    <x v="0"/>
    <x v="23"/>
    <n v="93009"/>
  </r>
  <r>
    <x v="38"/>
    <n v="758.96"/>
    <n v="413"/>
    <x v="2"/>
    <x v="0"/>
    <n v="313450.48000000004"/>
  </r>
  <r>
    <x v="326"/>
    <n v="707.63"/>
    <n v="67"/>
    <x v="0"/>
    <x v="33"/>
    <n v="47411.21"/>
  </r>
  <r>
    <x v="327"/>
    <n v="890.31"/>
    <n v="105"/>
    <x v="2"/>
    <x v="65"/>
    <n v="93482.549999999988"/>
  </r>
  <r>
    <x v="328"/>
    <n v="453.29"/>
    <n v="391"/>
    <x v="1"/>
    <x v="24"/>
    <n v="177236.39"/>
  </r>
  <r>
    <x v="329"/>
    <n v="411.97"/>
    <n v="296"/>
    <x v="2"/>
    <x v="20"/>
    <n v="121943.12000000001"/>
  </r>
  <r>
    <x v="330"/>
    <n v="310.54000000000002"/>
    <n v="357"/>
    <x v="4"/>
    <x v="10"/>
    <n v="110862.78000000001"/>
  </r>
  <r>
    <x v="314"/>
    <n v="814.1"/>
    <n v="846"/>
    <x v="3"/>
    <x v="44"/>
    <n v="688728.6"/>
  </r>
  <r>
    <x v="270"/>
    <n v="459.11"/>
    <n v="742"/>
    <x v="3"/>
    <x v="24"/>
    <n v="340659.62"/>
  </r>
  <r>
    <x v="331"/>
    <n v="565.07000000000005"/>
    <n v="125"/>
    <x v="3"/>
    <x v="22"/>
    <n v="70633.75"/>
  </r>
  <r>
    <x v="332"/>
    <n v="409.11"/>
    <n v="405"/>
    <x v="4"/>
    <x v="24"/>
    <n v="165689.55000000002"/>
  </r>
  <r>
    <x v="333"/>
    <n v="401.81"/>
    <n v="462"/>
    <x v="4"/>
    <x v="10"/>
    <n v="185636.22"/>
  </r>
  <r>
    <x v="334"/>
    <n v="65.22"/>
    <n v="841"/>
    <x v="2"/>
    <x v="38"/>
    <n v="54850.02"/>
  </r>
  <r>
    <x v="275"/>
    <n v="718.16"/>
    <n v="506"/>
    <x v="3"/>
    <x v="1"/>
    <n v="363388.95999999996"/>
  </r>
  <r>
    <x v="143"/>
    <n v="21.11"/>
    <n v="995"/>
    <x v="2"/>
    <x v="15"/>
    <n v="21004.45"/>
  </r>
  <r>
    <x v="224"/>
    <n v="417.42"/>
    <n v="949"/>
    <x v="0"/>
    <x v="45"/>
    <n v="396131.58"/>
  </r>
  <r>
    <x v="335"/>
    <n v="47.82"/>
    <n v="733"/>
    <x v="4"/>
    <x v="8"/>
    <n v="35052.06"/>
  </r>
  <r>
    <x v="336"/>
    <n v="915"/>
    <n v="795"/>
    <x v="3"/>
    <x v="29"/>
    <n v="727425"/>
  </r>
  <r>
    <x v="337"/>
    <n v="32.5"/>
    <n v="82"/>
    <x v="0"/>
    <x v="0"/>
    <n v="2665"/>
  </r>
  <r>
    <x v="338"/>
    <n v="362.15"/>
    <n v="3"/>
    <x v="2"/>
    <x v="37"/>
    <n v="1086.4499999999998"/>
  </r>
  <r>
    <x v="339"/>
    <n v="671.62"/>
    <n v="394"/>
    <x v="4"/>
    <x v="0"/>
    <n v="264618.28000000003"/>
  </r>
  <r>
    <x v="340"/>
    <n v="229.5"/>
    <n v="950"/>
    <x v="2"/>
    <x v="3"/>
    <n v="218025"/>
  </r>
  <r>
    <x v="341"/>
    <n v="13.08"/>
    <n v="316"/>
    <x v="3"/>
    <x v="65"/>
    <n v="4133.28"/>
  </r>
  <r>
    <x v="342"/>
    <n v="429.72"/>
    <n v="247"/>
    <x v="1"/>
    <x v="80"/>
    <n v="106140.84000000001"/>
  </r>
  <r>
    <x v="343"/>
    <n v="299.02999999999997"/>
    <n v="306"/>
    <x v="2"/>
    <x v="7"/>
    <n v="91503.18"/>
  </r>
  <r>
    <x v="344"/>
    <n v="561.02"/>
    <n v="999"/>
    <x v="0"/>
    <x v="6"/>
    <n v="560458.98"/>
  </r>
  <r>
    <x v="345"/>
    <n v="682.93"/>
    <n v="997"/>
    <x v="2"/>
    <x v="20"/>
    <n v="680881.21"/>
  </r>
  <r>
    <x v="346"/>
    <n v="50.36"/>
    <n v="249"/>
    <x v="1"/>
    <x v="5"/>
    <n v="12539.64"/>
  </r>
  <r>
    <x v="347"/>
    <n v="465.76"/>
    <n v="55"/>
    <x v="4"/>
    <x v="15"/>
    <n v="25616.799999999999"/>
  </r>
  <r>
    <x v="348"/>
    <n v="395.42"/>
    <n v="917"/>
    <x v="1"/>
    <x v="20"/>
    <n v="362600.14"/>
  </r>
  <r>
    <x v="349"/>
    <n v="229.75"/>
    <n v="740"/>
    <x v="4"/>
    <x v="31"/>
    <n v="170015"/>
  </r>
  <r>
    <x v="350"/>
    <n v="924.85"/>
    <n v="914"/>
    <x v="2"/>
    <x v="23"/>
    <n v="845312.9"/>
  </r>
  <r>
    <x v="351"/>
    <n v="382.15"/>
    <n v="382"/>
    <x v="1"/>
    <x v="17"/>
    <n v="145981.29999999999"/>
  </r>
  <r>
    <x v="352"/>
    <n v="457.13"/>
    <n v="659"/>
    <x v="3"/>
    <x v="42"/>
    <n v="301248.67"/>
  </r>
  <r>
    <x v="130"/>
    <n v="960.94"/>
    <n v="385"/>
    <x v="3"/>
    <x v="52"/>
    <n v="369961.9"/>
  </r>
  <r>
    <x v="353"/>
    <n v="431.03"/>
    <n v="221"/>
    <x v="3"/>
    <x v="40"/>
    <n v="95257.62999999999"/>
  </r>
  <r>
    <x v="354"/>
    <n v="428.43"/>
    <n v="122"/>
    <x v="1"/>
    <x v="2"/>
    <n v="52268.46"/>
  </r>
  <r>
    <x v="355"/>
    <n v="47.77"/>
    <n v="945"/>
    <x v="4"/>
    <x v="0"/>
    <n v="45142.65"/>
  </r>
  <r>
    <x v="356"/>
    <n v="854.03"/>
    <n v="50"/>
    <x v="4"/>
    <x v="24"/>
    <n v="42701.5"/>
  </r>
  <r>
    <x v="357"/>
    <n v="951.15"/>
    <n v="605"/>
    <x v="1"/>
    <x v="58"/>
    <n v="575445.75"/>
  </r>
  <r>
    <x v="358"/>
    <n v="961.69"/>
    <n v="114"/>
    <x v="1"/>
    <x v="20"/>
    <n v="109632.66"/>
  </r>
  <r>
    <x v="359"/>
    <n v="927.91"/>
    <n v="177"/>
    <x v="0"/>
    <x v="8"/>
    <n v="164240.07"/>
  </r>
  <r>
    <x v="360"/>
    <n v="381.76"/>
    <n v="275"/>
    <x v="0"/>
    <x v="10"/>
    <n v="104984"/>
  </r>
  <r>
    <x v="361"/>
    <n v="174.34"/>
    <n v="664"/>
    <x v="4"/>
    <x v="5"/>
    <n v="115761.76000000001"/>
  </r>
  <r>
    <x v="205"/>
    <n v="382.04"/>
    <n v="46"/>
    <x v="3"/>
    <x v="10"/>
    <n v="17573.84"/>
  </r>
  <r>
    <x v="362"/>
    <n v="117.38"/>
    <n v="272"/>
    <x v="3"/>
    <x v="7"/>
    <n v="31927.360000000001"/>
  </r>
  <r>
    <x v="363"/>
    <n v="613.73"/>
    <n v="819"/>
    <x v="0"/>
    <x v="36"/>
    <n v="502644.87"/>
  </r>
  <r>
    <x v="364"/>
    <n v="137.21"/>
    <n v="356"/>
    <x v="3"/>
    <x v="68"/>
    <n v="48846.76"/>
  </r>
  <r>
    <x v="365"/>
    <n v="262.07"/>
    <n v="524"/>
    <x v="2"/>
    <x v="17"/>
    <n v="137324.68"/>
  </r>
  <r>
    <x v="188"/>
    <n v="354.38"/>
    <n v="903"/>
    <x v="0"/>
    <x v="17"/>
    <n v="320005.14"/>
  </r>
  <r>
    <x v="366"/>
    <n v="566.47"/>
    <n v="535"/>
    <x v="2"/>
    <x v="15"/>
    <n v="303061.45"/>
  </r>
  <r>
    <x v="367"/>
    <n v="114.96"/>
    <n v="655"/>
    <x v="2"/>
    <x v="78"/>
    <n v="75298.8"/>
  </r>
  <r>
    <x v="368"/>
    <n v="439.05"/>
    <n v="531"/>
    <x v="0"/>
    <x v="24"/>
    <n v="233135.55000000002"/>
  </r>
  <r>
    <x v="252"/>
    <n v="351.53"/>
    <n v="360"/>
    <x v="2"/>
    <x v="27"/>
    <n v="126550.79999999999"/>
  </r>
  <r>
    <x v="190"/>
    <n v="666.55"/>
    <n v="943"/>
    <x v="0"/>
    <x v="10"/>
    <n v="628556.64999999991"/>
  </r>
  <r>
    <x v="369"/>
    <n v="413.56"/>
    <n v="625"/>
    <x v="1"/>
    <x v="24"/>
    <n v="258475"/>
  </r>
  <r>
    <x v="370"/>
    <n v="984.51"/>
    <n v="497"/>
    <x v="1"/>
    <x v="15"/>
    <n v="489301.47"/>
  </r>
  <r>
    <x v="371"/>
    <n v="693.41"/>
    <n v="671"/>
    <x v="1"/>
    <x v="81"/>
    <n v="465278.11"/>
  </r>
  <r>
    <x v="358"/>
    <n v="691.24"/>
    <n v="623"/>
    <x v="0"/>
    <x v="20"/>
    <n v="430642.52"/>
  </r>
  <r>
    <x v="372"/>
    <n v="310.45999999999998"/>
    <n v="942"/>
    <x v="0"/>
    <x v="65"/>
    <n v="292453.32"/>
  </r>
  <r>
    <x v="59"/>
    <n v="257.14"/>
    <n v="932"/>
    <x v="1"/>
    <x v="2"/>
    <n v="239654.47999999998"/>
  </r>
  <r>
    <x v="373"/>
    <n v="218.49"/>
    <n v="369"/>
    <x v="3"/>
    <x v="46"/>
    <n v="80622.81"/>
  </r>
  <r>
    <x v="374"/>
    <n v="632.64"/>
    <n v="382"/>
    <x v="2"/>
    <x v="44"/>
    <n v="241668.47999999998"/>
  </r>
  <r>
    <x v="211"/>
    <n v="115.33"/>
    <n v="405"/>
    <x v="1"/>
    <x v="58"/>
    <n v="46708.65"/>
  </r>
  <r>
    <x v="375"/>
    <n v="74.61"/>
    <n v="17"/>
    <x v="1"/>
    <x v="8"/>
    <n v="1268.3699999999999"/>
  </r>
  <r>
    <x v="376"/>
    <n v="60.2"/>
    <n v="227"/>
    <x v="0"/>
    <x v="26"/>
    <n v="13665.400000000001"/>
  </r>
  <r>
    <x v="377"/>
    <n v="80.25"/>
    <n v="823"/>
    <x v="3"/>
    <x v="12"/>
    <n v="66045.75"/>
  </r>
  <r>
    <x v="378"/>
    <n v="272.27999999999997"/>
    <n v="562"/>
    <x v="4"/>
    <x v="12"/>
    <n v="153021.35999999999"/>
  </r>
  <r>
    <x v="246"/>
    <n v="63.58"/>
    <n v="466"/>
    <x v="4"/>
    <x v="10"/>
    <n v="29628.28"/>
  </r>
  <r>
    <x v="379"/>
    <n v="377.9"/>
    <n v="570"/>
    <x v="1"/>
    <x v="82"/>
    <n v="215403"/>
  </r>
  <r>
    <x v="283"/>
    <n v="352.56"/>
    <n v="12"/>
    <x v="4"/>
    <x v="24"/>
    <n v="4230.72"/>
  </r>
  <r>
    <x v="380"/>
    <n v="688.56"/>
    <n v="216"/>
    <x v="4"/>
    <x v="10"/>
    <n v="148728.95999999999"/>
  </r>
  <r>
    <x v="381"/>
    <n v="113.47"/>
    <n v="911"/>
    <x v="0"/>
    <x v="59"/>
    <n v="103371.17"/>
  </r>
  <r>
    <x v="73"/>
    <n v="381.7"/>
    <n v="766"/>
    <x v="1"/>
    <x v="23"/>
    <n v="292382.2"/>
  </r>
  <r>
    <x v="382"/>
    <n v="120.43"/>
    <n v="230"/>
    <x v="2"/>
    <x v="83"/>
    <n v="27698.9"/>
  </r>
  <r>
    <x v="383"/>
    <n v="762.06"/>
    <n v="650"/>
    <x v="3"/>
    <x v="84"/>
    <n v="495338.99999999994"/>
  </r>
  <r>
    <x v="377"/>
    <n v="900.84"/>
    <n v="46"/>
    <x v="1"/>
    <x v="12"/>
    <n v="41438.639999999999"/>
  </r>
  <r>
    <x v="195"/>
    <n v="49.52"/>
    <n v="642"/>
    <x v="0"/>
    <x v="33"/>
    <n v="31791.840000000004"/>
  </r>
  <r>
    <x v="384"/>
    <n v="455.21"/>
    <n v="469"/>
    <x v="4"/>
    <x v="51"/>
    <n v="213493.49"/>
  </r>
  <r>
    <x v="385"/>
    <n v="430.34"/>
    <n v="505"/>
    <x v="3"/>
    <x v="38"/>
    <n v="217321.69999999998"/>
  </r>
  <r>
    <x v="386"/>
    <n v="969.07"/>
    <n v="306"/>
    <x v="4"/>
    <x v="48"/>
    <n v="296535.42000000004"/>
  </r>
  <r>
    <x v="387"/>
    <n v="173.2"/>
    <n v="554"/>
    <x v="1"/>
    <x v="0"/>
    <n v="95952.799999999988"/>
  </r>
  <r>
    <x v="253"/>
    <n v="786.39"/>
    <n v="865"/>
    <x v="1"/>
    <x v="15"/>
    <n v="680227.35"/>
  </r>
  <r>
    <x v="352"/>
    <n v="194.73"/>
    <n v="847"/>
    <x v="2"/>
    <x v="42"/>
    <n v="164936.31"/>
  </r>
  <r>
    <x v="388"/>
    <n v="315.95"/>
    <n v="603"/>
    <x v="3"/>
    <x v="42"/>
    <n v="190517.85"/>
  </r>
  <r>
    <x v="389"/>
    <n v="940.06"/>
    <n v="659"/>
    <x v="1"/>
    <x v="31"/>
    <n v="619499.53999999992"/>
  </r>
  <r>
    <x v="390"/>
    <n v="688.59"/>
    <n v="112"/>
    <x v="3"/>
    <x v="83"/>
    <n v="77122.080000000002"/>
  </r>
  <r>
    <x v="391"/>
    <n v="544.32000000000005"/>
    <n v="907"/>
    <x v="0"/>
    <x v="85"/>
    <n v="493698.24000000005"/>
  </r>
  <r>
    <x v="232"/>
    <n v="746.97"/>
    <n v="213"/>
    <x v="4"/>
    <x v="29"/>
    <n v="159104.61000000002"/>
  </r>
  <r>
    <x v="65"/>
    <n v="194.2"/>
    <n v="155"/>
    <x v="0"/>
    <x v="21"/>
    <n v="30101"/>
  </r>
  <r>
    <x v="315"/>
    <n v="157.61000000000001"/>
    <n v="995"/>
    <x v="3"/>
    <x v="34"/>
    <n v="156821.95000000001"/>
  </r>
  <r>
    <x v="392"/>
    <n v="261.20999999999998"/>
    <n v="519"/>
    <x v="2"/>
    <x v="33"/>
    <n v="135567.99"/>
  </r>
  <r>
    <x v="393"/>
    <n v="923.06"/>
    <n v="658"/>
    <x v="3"/>
    <x v="86"/>
    <n v="607373.48"/>
  </r>
  <r>
    <x v="394"/>
    <n v="564.48"/>
    <n v="259"/>
    <x v="2"/>
    <x v="68"/>
    <n v="146200.32000000001"/>
  </r>
  <r>
    <x v="395"/>
    <n v="561.63"/>
    <n v="213"/>
    <x v="1"/>
    <x v="17"/>
    <n v="119627.19"/>
  </r>
  <r>
    <x v="396"/>
    <n v="569.23"/>
    <n v="145"/>
    <x v="2"/>
    <x v="24"/>
    <n v="82538.350000000006"/>
  </r>
  <r>
    <x v="397"/>
    <n v="336.1"/>
    <n v="977"/>
    <x v="4"/>
    <x v="8"/>
    <n v="328369.7"/>
  </r>
  <r>
    <x v="83"/>
    <n v="796.28"/>
    <n v="353"/>
    <x v="4"/>
    <x v="39"/>
    <n v="281086.83999999997"/>
  </r>
  <r>
    <x v="282"/>
    <n v="889.54"/>
    <n v="114"/>
    <x v="3"/>
    <x v="5"/>
    <n v="101407.56"/>
  </r>
  <r>
    <x v="398"/>
    <n v="179.34"/>
    <n v="511"/>
    <x v="0"/>
    <x v="61"/>
    <n v="91642.74"/>
  </r>
  <r>
    <x v="399"/>
    <n v="967.96"/>
    <n v="56"/>
    <x v="2"/>
    <x v="24"/>
    <n v="54205.760000000002"/>
  </r>
  <r>
    <x v="292"/>
    <n v="32.130000000000003"/>
    <n v="794"/>
    <x v="2"/>
    <x v="2"/>
    <n v="25511.22"/>
  </r>
  <r>
    <x v="400"/>
    <n v="265"/>
    <n v="23"/>
    <x v="1"/>
    <x v="87"/>
    <n v="6095"/>
  </r>
  <r>
    <x v="401"/>
    <n v="872.18"/>
    <n v="165"/>
    <x v="4"/>
    <x v="2"/>
    <n v="143909.69999999998"/>
  </r>
  <r>
    <x v="402"/>
    <n v="860.63"/>
    <n v="836"/>
    <x v="4"/>
    <x v="14"/>
    <n v="719486.68"/>
  </r>
  <r>
    <x v="403"/>
    <n v="977.45"/>
    <n v="556"/>
    <x v="3"/>
    <x v="33"/>
    <n v="543462.20000000007"/>
  </r>
  <r>
    <x v="404"/>
    <n v="935.05"/>
    <n v="605"/>
    <x v="1"/>
    <x v="24"/>
    <n v="565705.25"/>
  </r>
  <r>
    <x v="405"/>
    <n v="398.59"/>
    <n v="484"/>
    <x v="2"/>
    <x v="15"/>
    <n v="192917.56"/>
  </r>
  <r>
    <x v="406"/>
    <n v="498.61"/>
    <n v="293"/>
    <x v="2"/>
    <x v="27"/>
    <n v="146092.73000000001"/>
  </r>
  <r>
    <x v="407"/>
    <n v="174.15"/>
    <n v="841"/>
    <x v="3"/>
    <x v="0"/>
    <n v="146460.15"/>
  </r>
  <r>
    <x v="408"/>
    <n v="45.91"/>
    <n v="21"/>
    <x v="0"/>
    <x v="48"/>
    <n v="964.1099999999999"/>
  </r>
  <r>
    <x v="409"/>
    <n v="181.48"/>
    <n v="979"/>
    <x v="2"/>
    <x v="34"/>
    <n v="177668.91999999998"/>
  </r>
  <r>
    <x v="152"/>
    <n v="20.67"/>
    <n v="129"/>
    <x v="0"/>
    <x v="53"/>
    <n v="2666.4300000000003"/>
  </r>
  <r>
    <x v="410"/>
    <n v="569.91"/>
    <n v="919"/>
    <x v="0"/>
    <x v="34"/>
    <n v="523747.29"/>
  </r>
  <r>
    <x v="411"/>
    <n v="555.27"/>
    <n v="556"/>
    <x v="0"/>
    <x v="38"/>
    <n v="308730.12"/>
  </r>
  <r>
    <x v="412"/>
    <n v="858.24"/>
    <n v="570"/>
    <x v="1"/>
    <x v="2"/>
    <n v="489196.79999999999"/>
  </r>
  <r>
    <x v="413"/>
    <n v="524.54999999999995"/>
    <n v="302"/>
    <x v="1"/>
    <x v="36"/>
    <n v="158414.09999999998"/>
  </r>
  <r>
    <x v="167"/>
    <n v="297.02999999999997"/>
    <n v="696"/>
    <x v="4"/>
    <x v="56"/>
    <n v="206732.87999999998"/>
  </r>
  <r>
    <x v="414"/>
    <n v="759.62"/>
    <n v="187"/>
    <x v="0"/>
    <x v="88"/>
    <n v="142048.94"/>
  </r>
  <r>
    <x v="415"/>
    <n v="789.13"/>
    <n v="52"/>
    <x v="1"/>
    <x v="0"/>
    <n v="41034.76"/>
  </r>
  <r>
    <x v="416"/>
    <n v="105.31"/>
    <n v="767"/>
    <x v="2"/>
    <x v="89"/>
    <n v="80772.77"/>
  </r>
  <r>
    <x v="417"/>
    <n v="944.88"/>
    <n v="528"/>
    <x v="3"/>
    <x v="22"/>
    <n v="498896.64000000001"/>
  </r>
  <r>
    <x v="418"/>
    <n v="566.67999999999995"/>
    <n v="877"/>
    <x v="0"/>
    <x v="59"/>
    <n v="496978.35999999993"/>
  </r>
  <r>
    <x v="419"/>
    <n v="312.89"/>
    <n v="85"/>
    <x v="4"/>
    <x v="20"/>
    <n v="26595.649999999998"/>
  </r>
  <r>
    <x v="420"/>
    <n v="986.64"/>
    <n v="992"/>
    <x v="3"/>
    <x v="58"/>
    <n v="978746.88"/>
  </r>
  <r>
    <x v="421"/>
    <n v="478.79"/>
    <n v="41"/>
    <x v="3"/>
    <x v="27"/>
    <n v="19630.39"/>
  </r>
  <r>
    <x v="422"/>
    <n v="398.64"/>
    <n v="640"/>
    <x v="0"/>
    <x v="31"/>
    <n v="255129.59999999998"/>
  </r>
  <r>
    <x v="423"/>
    <n v="862.2"/>
    <n v="564"/>
    <x v="2"/>
    <x v="15"/>
    <n v="486280.80000000005"/>
  </r>
  <r>
    <x v="424"/>
    <n v="737.2"/>
    <n v="170"/>
    <x v="0"/>
    <x v="64"/>
    <n v="125324.00000000001"/>
  </r>
  <r>
    <x v="425"/>
    <n v="364.89"/>
    <n v="16"/>
    <x v="2"/>
    <x v="15"/>
    <n v="5838.24"/>
  </r>
  <r>
    <x v="120"/>
    <n v="898.13"/>
    <n v="169"/>
    <x v="4"/>
    <x v="0"/>
    <n v="151783.97"/>
  </r>
  <r>
    <x v="67"/>
    <n v="79.11"/>
    <n v="63"/>
    <x v="1"/>
    <x v="34"/>
    <n v="4983.93"/>
  </r>
  <r>
    <x v="426"/>
    <n v="148.75"/>
    <n v="458"/>
    <x v="0"/>
    <x v="8"/>
    <n v="68127.5"/>
  </r>
  <r>
    <x v="427"/>
    <n v="570.45000000000005"/>
    <n v="651"/>
    <x v="0"/>
    <x v="38"/>
    <n v="371362.95"/>
  </r>
  <r>
    <x v="428"/>
    <n v="55.51"/>
    <n v="676"/>
    <x v="3"/>
    <x v="0"/>
    <n v="37524.76"/>
  </r>
  <r>
    <x v="429"/>
    <n v="836.22"/>
    <n v="987"/>
    <x v="3"/>
    <x v="65"/>
    <n v="825349.14"/>
  </r>
  <r>
    <x v="430"/>
    <n v="64.66"/>
    <n v="873"/>
    <x v="1"/>
    <x v="55"/>
    <n v="56448.18"/>
  </r>
  <r>
    <x v="431"/>
    <n v="578.61"/>
    <n v="188"/>
    <x v="0"/>
    <x v="27"/>
    <n v="108778.68000000001"/>
  </r>
  <r>
    <x v="432"/>
    <n v="605.80999999999995"/>
    <n v="867"/>
    <x v="1"/>
    <x v="13"/>
    <n v="525237.2699999999"/>
  </r>
  <r>
    <x v="433"/>
    <n v="363.85"/>
    <n v="265"/>
    <x v="2"/>
    <x v="50"/>
    <n v="96420.25"/>
  </r>
  <r>
    <x v="434"/>
    <n v="289.14999999999998"/>
    <n v="87"/>
    <x v="1"/>
    <x v="35"/>
    <n v="25156.05"/>
  </r>
  <r>
    <x v="435"/>
    <n v="242.79"/>
    <n v="853"/>
    <x v="1"/>
    <x v="60"/>
    <n v="207099.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A1653-F788-46F7-B6BD-C24433615D4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6">
    <pivotField axis="axisRow" showAll="0" measureFilter="1">
      <items count="437">
        <item x="367"/>
        <item x="126"/>
        <item x="179"/>
        <item x="258"/>
        <item x="322"/>
        <item x="103"/>
        <item x="185"/>
        <item x="99"/>
        <item x="145"/>
        <item x="174"/>
        <item x="83"/>
        <item x="412"/>
        <item x="243"/>
        <item x="156"/>
        <item x="17"/>
        <item x="167"/>
        <item x="14"/>
        <item x="266"/>
        <item x="373"/>
        <item x="299"/>
        <item x="6"/>
        <item x="304"/>
        <item x="390"/>
        <item x="280"/>
        <item x="28"/>
        <item x="47"/>
        <item x="56"/>
        <item x="352"/>
        <item x="198"/>
        <item x="434"/>
        <item x="433"/>
        <item x="171"/>
        <item x="252"/>
        <item x="382"/>
        <item x="338"/>
        <item x="354"/>
        <item x="130"/>
        <item x="115"/>
        <item x="205"/>
        <item x="365"/>
        <item x="18"/>
        <item x="79"/>
        <item x="5"/>
        <item x="173"/>
        <item x="301"/>
        <item x="138"/>
        <item x="307"/>
        <item x="259"/>
        <item x="309"/>
        <item x="63"/>
        <item x="268"/>
        <item x="224"/>
        <item x="351"/>
        <item x="241"/>
        <item x="106"/>
        <item x="23"/>
        <item x="393"/>
        <item x="362"/>
        <item x="70"/>
        <item x="30"/>
        <item x="59"/>
        <item x="435"/>
        <item x="383"/>
        <item x="53"/>
        <item x="319"/>
        <item x="388"/>
        <item x="418"/>
        <item x="163"/>
        <item x="240"/>
        <item x="251"/>
        <item x="186"/>
        <item x="428"/>
        <item x="118"/>
        <item x="230"/>
        <item x="289"/>
        <item x="369"/>
        <item x="114"/>
        <item x="158"/>
        <item x="414"/>
        <item x="395"/>
        <item x="325"/>
        <item x="177"/>
        <item x="267"/>
        <item x="368"/>
        <item x="107"/>
        <item x="332"/>
        <item x="214"/>
        <item x="287"/>
        <item x="245"/>
        <item x="212"/>
        <item x="421"/>
        <item x="91"/>
        <item x="302"/>
        <item x="312"/>
        <item x="343"/>
        <item x="22"/>
        <item x="154"/>
        <item x="140"/>
        <item x="416"/>
        <item x="20"/>
        <item x="178"/>
        <item x="136"/>
        <item x="152"/>
        <item x="183"/>
        <item x="385"/>
        <item x="270"/>
        <item x="308"/>
        <item x="133"/>
        <item x="160"/>
        <item x="159"/>
        <item x="191"/>
        <item x="161"/>
        <item x="399"/>
        <item x="104"/>
        <item x="143"/>
        <item x="39"/>
        <item x="41"/>
        <item x="75"/>
        <item x="281"/>
        <item x="73"/>
        <item x="216"/>
        <item x="193"/>
        <item x="123"/>
        <item x="333"/>
        <item x="335"/>
        <item x="189"/>
        <item x="76"/>
        <item x="279"/>
        <item x="265"/>
        <item x="213"/>
        <item x="194"/>
        <item x="86"/>
        <item x="397"/>
        <item x="45"/>
        <item x="65"/>
        <item x="331"/>
        <item x="223"/>
        <item x="44"/>
        <item x="38"/>
        <item x="261"/>
        <item x="244"/>
        <item x="249"/>
        <item x="215"/>
        <item x="4"/>
        <item x="402"/>
        <item x="226"/>
        <item x="3"/>
        <item x="292"/>
        <item x="431"/>
        <item x="181"/>
        <item x="361"/>
        <item x="422"/>
        <item x="98"/>
        <item x="113"/>
        <item x="135"/>
        <item x="165"/>
        <item x="366"/>
        <item x="391"/>
        <item x="417"/>
        <item x="222"/>
        <item x="84"/>
        <item x="54"/>
        <item x="311"/>
        <item x="364"/>
        <item x="10"/>
        <item x="139"/>
        <item x="129"/>
        <item x="157"/>
        <item x="164"/>
        <item x="286"/>
        <item x="271"/>
        <item x="285"/>
        <item x="227"/>
        <item x="66"/>
        <item x="257"/>
        <item x="119"/>
        <item x="210"/>
        <item x="255"/>
        <item x="392"/>
        <item x="61"/>
        <item x="387"/>
        <item x="363"/>
        <item x="313"/>
        <item x="33"/>
        <item x="88"/>
        <item x="102"/>
        <item x="389"/>
        <item x="349"/>
        <item x="314"/>
        <item x="80"/>
        <item x="355"/>
        <item x="316"/>
        <item x="48"/>
        <item x="295"/>
        <item x="356"/>
        <item x="190"/>
        <item x="378"/>
        <item x="317"/>
        <item x="97"/>
        <item x="12"/>
        <item x="237"/>
        <item x="253"/>
        <item x="219"/>
        <item x="419"/>
        <item x="100"/>
        <item x="381"/>
        <item x="197"/>
        <item x="51"/>
        <item x="40"/>
        <item x="248"/>
        <item x="380"/>
        <item x="117"/>
        <item x="182"/>
        <item x="32"/>
        <item x="127"/>
        <item x="43"/>
        <item x="342"/>
        <item x="8"/>
        <item x="377"/>
        <item x="430"/>
        <item x="425"/>
        <item x="423"/>
        <item x="310"/>
        <item x="168"/>
        <item x="184"/>
        <item x="247"/>
        <item x="172"/>
        <item x="16"/>
        <item x="379"/>
        <item x="155"/>
        <item x="52"/>
        <item x="204"/>
        <item x="201"/>
        <item x="336"/>
        <item x="242"/>
        <item x="396"/>
        <item x="294"/>
        <item x="330"/>
        <item x="220"/>
        <item x="69"/>
        <item x="72"/>
        <item x="36"/>
        <item x="202"/>
        <item x="371"/>
        <item x="105"/>
        <item x="29"/>
        <item x="345"/>
        <item x="142"/>
        <item x="116"/>
        <item x="246"/>
        <item x="360"/>
        <item x="21"/>
        <item x="92"/>
        <item x="320"/>
        <item x="424"/>
        <item x="101"/>
        <item x="192"/>
        <item x="199"/>
        <item x="429"/>
        <item x="74"/>
        <item x="339"/>
        <item x="151"/>
        <item x="273"/>
        <item x="413"/>
        <item x="112"/>
        <item x="254"/>
        <item x="408"/>
        <item x="350"/>
        <item x="337"/>
        <item x="326"/>
        <item x="131"/>
        <item x="27"/>
        <item x="334"/>
        <item x="297"/>
        <item x="427"/>
        <item x="146"/>
        <item x="77"/>
        <item x="411"/>
        <item x="148"/>
        <item x="303"/>
        <item x="340"/>
        <item x="34"/>
        <item x="305"/>
        <item x="93"/>
        <item x="62"/>
        <item x="67"/>
        <item x="234"/>
        <item x="81"/>
        <item x="272"/>
        <item x="57"/>
        <item x="187"/>
        <item x="263"/>
        <item x="432"/>
        <item x="19"/>
        <item x="315"/>
        <item x="217"/>
        <item x="398"/>
        <item x="137"/>
        <item x="124"/>
        <item x="407"/>
        <item x="324"/>
        <item x="175"/>
        <item x="256"/>
        <item x="71"/>
        <item x="394"/>
        <item x="346"/>
        <item x="2"/>
        <item x="121"/>
        <item x="238"/>
        <item x="147"/>
        <item x="269"/>
        <item x="200"/>
        <item x="37"/>
        <item x="108"/>
        <item x="218"/>
        <item x="415"/>
        <item x="55"/>
        <item x="284"/>
        <item x="410"/>
        <item x="374"/>
        <item x="329"/>
        <item x="11"/>
        <item x="90"/>
        <item x="235"/>
        <item x="25"/>
        <item x="176"/>
        <item x="0"/>
        <item x="359"/>
        <item x="262"/>
        <item x="208"/>
        <item x="85"/>
        <item x="58"/>
        <item x="78"/>
        <item x="347"/>
        <item x="404"/>
        <item x="94"/>
        <item x="283"/>
        <item x="82"/>
        <item x="9"/>
        <item x="221"/>
        <item x="196"/>
        <item x="400"/>
        <item x="384"/>
        <item x="87"/>
        <item x="49"/>
        <item x="376"/>
        <item x="89"/>
        <item x="306"/>
        <item x="153"/>
        <item x="46"/>
        <item x="236"/>
        <item x="35"/>
        <item x="132"/>
        <item x="318"/>
        <item x="296"/>
        <item x="401"/>
        <item x="109"/>
        <item x="225"/>
        <item x="95"/>
        <item x="120"/>
        <item x="111"/>
        <item x="68"/>
        <item x="276"/>
        <item x="375"/>
        <item x="278"/>
        <item x="260"/>
        <item x="50"/>
        <item x="328"/>
        <item x="321"/>
        <item x="250"/>
        <item x="211"/>
        <item x="344"/>
        <item x="290"/>
        <item x="1"/>
        <item x="13"/>
        <item x="134"/>
        <item x="26"/>
        <item x="229"/>
        <item x="180"/>
        <item x="128"/>
        <item x="403"/>
        <item x="64"/>
        <item x="386"/>
        <item x="150"/>
        <item x="169"/>
        <item x="291"/>
        <item x="149"/>
        <item x="357"/>
        <item x="195"/>
        <item x="323"/>
        <item x="341"/>
        <item x="231"/>
        <item x="60"/>
        <item x="141"/>
        <item x="228"/>
        <item x="293"/>
        <item x="288"/>
        <item x="264"/>
        <item x="15"/>
        <item x="405"/>
        <item x="207"/>
        <item x="233"/>
        <item x="406"/>
        <item x="327"/>
        <item x="203"/>
        <item x="409"/>
        <item x="188"/>
        <item x="166"/>
        <item x="372"/>
        <item x="420"/>
        <item x="206"/>
        <item x="96"/>
        <item x="370"/>
        <item x="110"/>
        <item x="353"/>
        <item x="125"/>
        <item x="300"/>
        <item x="426"/>
        <item x="348"/>
        <item x="42"/>
        <item x="274"/>
        <item x="24"/>
        <item x="282"/>
        <item x="7"/>
        <item x="239"/>
        <item x="277"/>
        <item x="275"/>
        <item x="31"/>
        <item x="122"/>
        <item x="170"/>
        <item x="232"/>
        <item x="162"/>
        <item x="298"/>
        <item x="144"/>
        <item x="358"/>
        <item x="209"/>
        <item t="default"/>
      </items>
    </pivotField>
    <pivotField showAll="0"/>
    <pivotField showAll="0"/>
    <pivotField showAll="0"/>
    <pivotField showAll="0"/>
    <pivotField dataField="1" showAll="0"/>
  </pivotFields>
  <rowFields count="1">
    <field x="0"/>
  </rowFields>
  <rowItems count="11">
    <i>
      <x v="36"/>
    </i>
    <i>
      <x v="51"/>
    </i>
    <i>
      <x v="55"/>
    </i>
    <i>
      <x v="105"/>
    </i>
    <i>
      <x v="195"/>
    </i>
    <i>
      <x v="230"/>
    </i>
    <i>
      <x v="287"/>
    </i>
    <i>
      <x v="359"/>
    </i>
    <i>
      <x v="406"/>
    </i>
    <i>
      <x v="409"/>
    </i>
    <i t="grand">
      <x/>
    </i>
  </rowItems>
  <colItems count="1">
    <i/>
  </colItems>
  <dataFields count="1">
    <dataField name="Sum of total value" fld="5"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28DE2C-2837-49B2-B255-49E3F497F92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6">
    <pivotField showAll="0" measureFilter="1">
      <items count="437">
        <item x="367"/>
        <item x="126"/>
        <item x="179"/>
        <item x="258"/>
        <item x="322"/>
        <item x="103"/>
        <item x="185"/>
        <item x="99"/>
        <item x="145"/>
        <item x="174"/>
        <item x="83"/>
        <item x="412"/>
        <item x="243"/>
        <item x="156"/>
        <item x="17"/>
        <item x="167"/>
        <item x="14"/>
        <item x="266"/>
        <item x="373"/>
        <item x="299"/>
        <item x="6"/>
        <item x="304"/>
        <item x="390"/>
        <item x="280"/>
        <item x="28"/>
        <item x="47"/>
        <item x="56"/>
        <item x="352"/>
        <item x="198"/>
        <item x="434"/>
        <item x="433"/>
        <item x="171"/>
        <item x="252"/>
        <item x="382"/>
        <item x="338"/>
        <item x="354"/>
        <item x="130"/>
        <item x="115"/>
        <item x="205"/>
        <item x="365"/>
        <item x="18"/>
        <item x="79"/>
        <item x="5"/>
        <item x="173"/>
        <item x="301"/>
        <item x="138"/>
        <item x="307"/>
        <item x="259"/>
        <item x="309"/>
        <item x="63"/>
        <item x="268"/>
        <item x="224"/>
        <item x="351"/>
        <item x="241"/>
        <item x="106"/>
        <item x="23"/>
        <item x="393"/>
        <item x="362"/>
        <item x="70"/>
        <item x="30"/>
        <item x="59"/>
        <item x="435"/>
        <item x="383"/>
        <item x="53"/>
        <item x="319"/>
        <item x="388"/>
        <item x="418"/>
        <item x="163"/>
        <item x="240"/>
        <item x="251"/>
        <item x="186"/>
        <item x="428"/>
        <item x="118"/>
        <item x="230"/>
        <item x="289"/>
        <item x="369"/>
        <item x="114"/>
        <item x="158"/>
        <item x="414"/>
        <item x="395"/>
        <item x="325"/>
        <item x="177"/>
        <item x="267"/>
        <item x="368"/>
        <item x="107"/>
        <item x="332"/>
        <item x="214"/>
        <item x="287"/>
        <item x="245"/>
        <item x="212"/>
        <item x="421"/>
        <item x="91"/>
        <item x="302"/>
        <item x="312"/>
        <item x="343"/>
        <item x="22"/>
        <item x="154"/>
        <item x="140"/>
        <item x="416"/>
        <item x="20"/>
        <item x="178"/>
        <item x="136"/>
        <item x="152"/>
        <item x="183"/>
        <item x="385"/>
        <item x="270"/>
        <item x="308"/>
        <item x="133"/>
        <item x="160"/>
        <item x="159"/>
        <item x="191"/>
        <item x="161"/>
        <item x="399"/>
        <item x="104"/>
        <item x="143"/>
        <item x="39"/>
        <item x="41"/>
        <item x="75"/>
        <item x="281"/>
        <item x="73"/>
        <item x="216"/>
        <item x="193"/>
        <item x="123"/>
        <item x="333"/>
        <item x="335"/>
        <item x="189"/>
        <item x="76"/>
        <item x="279"/>
        <item x="265"/>
        <item x="213"/>
        <item x="194"/>
        <item x="86"/>
        <item x="397"/>
        <item x="45"/>
        <item x="65"/>
        <item x="331"/>
        <item x="223"/>
        <item x="44"/>
        <item x="38"/>
        <item x="261"/>
        <item x="244"/>
        <item x="249"/>
        <item x="215"/>
        <item x="4"/>
        <item x="402"/>
        <item x="226"/>
        <item x="3"/>
        <item x="292"/>
        <item x="431"/>
        <item x="181"/>
        <item x="361"/>
        <item x="422"/>
        <item x="98"/>
        <item x="113"/>
        <item x="135"/>
        <item x="165"/>
        <item x="366"/>
        <item x="391"/>
        <item x="417"/>
        <item x="222"/>
        <item x="84"/>
        <item x="54"/>
        <item x="311"/>
        <item x="364"/>
        <item x="10"/>
        <item x="139"/>
        <item x="129"/>
        <item x="157"/>
        <item x="164"/>
        <item x="286"/>
        <item x="271"/>
        <item x="285"/>
        <item x="227"/>
        <item x="66"/>
        <item x="257"/>
        <item x="119"/>
        <item x="210"/>
        <item x="255"/>
        <item x="392"/>
        <item x="61"/>
        <item x="387"/>
        <item x="363"/>
        <item x="313"/>
        <item x="33"/>
        <item x="88"/>
        <item x="102"/>
        <item x="389"/>
        <item x="349"/>
        <item x="314"/>
        <item x="80"/>
        <item x="355"/>
        <item x="316"/>
        <item x="48"/>
        <item x="295"/>
        <item x="356"/>
        <item x="190"/>
        <item x="378"/>
        <item x="317"/>
        <item x="97"/>
        <item x="12"/>
        <item x="237"/>
        <item x="253"/>
        <item x="219"/>
        <item x="419"/>
        <item x="100"/>
        <item x="381"/>
        <item x="197"/>
        <item x="51"/>
        <item x="40"/>
        <item x="248"/>
        <item x="380"/>
        <item x="117"/>
        <item x="182"/>
        <item x="32"/>
        <item x="127"/>
        <item x="43"/>
        <item x="342"/>
        <item x="8"/>
        <item x="377"/>
        <item x="430"/>
        <item x="425"/>
        <item x="423"/>
        <item x="310"/>
        <item x="168"/>
        <item x="184"/>
        <item x="247"/>
        <item x="172"/>
        <item x="16"/>
        <item x="379"/>
        <item x="155"/>
        <item x="52"/>
        <item x="204"/>
        <item x="201"/>
        <item x="336"/>
        <item x="242"/>
        <item x="396"/>
        <item x="294"/>
        <item x="330"/>
        <item x="220"/>
        <item x="69"/>
        <item x="72"/>
        <item x="36"/>
        <item x="202"/>
        <item x="371"/>
        <item x="105"/>
        <item x="29"/>
        <item x="345"/>
        <item x="142"/>
        <item x="116"/>
        <item x="246"/>
        <item x="360"/>
        <item x="21"/>
        <item x="92"/>
        <item x="320"/>
        <item x="424"/>
        <item x="101"/>
        <item x="192"/>
        <item x="199"/>
        <item x="429"/>
        <item x="74"/>
        <item x="339"/>
        <item x="151"/>
        <item x="273"/>
        <item x="413"/>
        <item x="112"/>
        <item x="254"/>
        <item x="408"/>
        <item x="350"/>
        <item x="337"/>
        <item x="326"/>
        <item x="131"/>
        <item x="27"/>
        <item x="334"/>
        <item x="297"/>
        <item x="427"/>
        <item x="146"/>
        <item x="77"/>
        <item x="411"/>
        <item x="148"/>
        <item x="303"/>
        <item x="340"/>
        <item x="34"/>
        <item x="305"/>
        <item x="93"/>
        <item x="62"/>
        <item x="67"/>
        <item x="234"/>
        <item x="81"/>
        <item x="272"/>
        <item x="57"/>
        <item x="187"/>
        <item x="263"/>
        <item x="432"/>
        <item x="19"/>
        <item x="315"/>
        <item x="217"/>
        <item x="398"/>
        <item x="137"/>
        <item x="124"/>
        <item x="407"/>
        <item x="324"/>
        <item x="175"/>
        <item x="256"/>
        <item x="71"/>
        <item x="394"/>
        <item x="346"/>
        <item x="2"/>
        <item x="121"/>
        <item x="238"/>
        <item x="147"/>
        <item x="269"/>
        <item x="200"/>
        <item x="37"/>
        <item x="108"/>
        <item x="218"/>
        <item x="415"/>
        <item x="55"/>
        <item x="284"/>
        <item x="410"/>
        <item x="374"/>
        <item x="329"/>
        <item x="11"/>
        <item x="90"/>
        <item x="235"/>
        <item x="25"/>
        <item x="176"/>
        <item x="0"/>
        <item x="359"/>
        <item x="262"/>
        <item x="208"/>
        <item x="85"/>
        <item x="58"/>
        <item x="78"/>
        <item x="347"/>
        <item x="404"/>
        <item x="94"/>
        <item x="283"/>
        <item x="82"/>
        <item x="9"/>
        <item x="221"/>
        <item x="196"/>
        <item x="400"/>
        <item x="384"/>
        <item x="87"/>
        <item x="49"/>
        <item x="376"/>
        <item x="89"/>
        <item x="306"/>
        <item x="153"/>
        <item x="46"/>
        <item x="236"/>
        <item x="35"/>
        <item x="132"/>
        <item x="318"/>
        <item x="296"/>
        <item x="401"/>
        <item x="109"/>
        <item x="225"/>
        <item x="95"/>
        <item x="120"/>
        <item x="111"/>
        <item x="68"/>
        <item x="276"/>
        <item x="375"/>
        <item x="278"/>
        <item x="260"/>
        <item x="50"/>
        <item x="328"/>
        <item x="321"/>
        <item x="250"/>
        <item x="211"/>
        <item x="344"/>
        <item x="290"/>
        <item x="1"/>
        <item x="13"/>
        <item x="134"/>
        <item x="26"/>
        <item x="229"/>
        <item x="180"/>
        <item x="128"/>
        <item x="403"/>
        <item x="64"/>
        <item x="386"/>
        <item x="150"/>
        <item x="169"/>
        <item x="291"/>
        <item x="149"/>
        <item x="357"/>
        <item x="195"/>
        <item x="323"/>
        <item x="341"/>
        <item x="231"/>
        <item x="60"/>
        <item x="141"/>
        <item x="228"/>
        <item x="293"/>
        <item x="288"/>
        <item x="264"/>
        <item x="15"/>
        <item x="405"/>
        <item x="207"/>
        <item x="233"/>
        <item x="406"/>
        <item x="327"/>
        <item x="203"/>
        <item x="409"/>
        <item x="188"/>
        <item x="166"/>
        <item x="372"/>
        <item x="420"/>
        <item x="206"/>
        <item x="96"/>
        <item x="370"/>
        <item x="110"/>
        <item x="353"/>
        <item x="125"/>
        <item x="300"/>
        <item x="426"/>
        <item x="348"/>
        <item x="42"/>
        <item x="274"/>
        <item x="24"/>
        <item x="282"/>
        <item x="7"/>
        <item x="239"/>
        <item x="277"/>
        <item x="275"/>
        <item x="31"/>
        <item x="122"/>
        <item x="170"/>
        <item x="232"/>
        <item x="162"/>
        <item x="298"/>
        <item x="144"/>
        <item x="358"/>
        <item x="209"/>
        <item t="default"/>
      </items>
    </pivotField>
    <pivotField showAll="0"/>
    <pivotField showAll="0"/>
    <pivotField axis="axisRow" showAll="0">
      <items count="6">
        <item x="3"/>
        <item x="4"/>
        <item x="0"/>
        <item x="1"/>
        <item x="2"/>
        <item t="default"/>
      </items>
    </pivotField>
    <pivotField showAll="0"/>
    <pivotField dataField="1" showAll="0"/>
  </pivotFields>
  <rowFields count="1">
    <field x="3"/>
  </rowFields>
  <rowItems count="6">
    <i>
      <x/>
    </i>
    <i>
      <x v="1"/>
    </i>
    <i>
      <x v="2"/>
    </i>
    <i>
      <x v="3"/>
    </i>
    <i>
      <x v="4"/>
    </i>
    <i t="grand">
      <x/>
    </i>
  </rowItems>
  <colItems count="1">
    <i/>
  </colItems>
  <dataFields count="1">
    <dataField name="Sum of total value"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1EA861-5D2B-4536-8545-50C48A6FDDAC}"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2" firstHeaderRow="1" firstDataRow="1" firstDataCol="1"/>
  <pivotFields count="6">
    <pivotField showAll="0" measureFilter="1">
      <items count="437">
        <item x="367"/>
        <item x="126"/>
        <item x="179"/>
        <item x="258"/>
        <item x="322"/>
        <item x="103"/>
        <item x="185"/>
        <item x="99"/>
        <item x="145"/>
        <item x="174"/>
        <item x="83"/>
        <item x="412"/>
        <item x="243"/>
        <item x="156"/>
        <item x="17"/>
        <item x="167"/>
        <item x="14"/>
        <item x="266"/>
        <item x="373"/>
        <item x="299"/>
        <item x="6"/>
        <item x="304"/>
        <item x="390"/>
        <item x="280"/>
        <item x="28"/>
        <item x="47"/>
        <item x="56"/>
        <item x="352"/>
        <item x="198"/>
        <item x="434"/>
        <item x="433"/>
        <item x="171"/>
        <item x="252"/>
        <item x="382"/>
        <item x="338"/>
        <item x="354"/>
        <item x="130"/>
        <item x="115"/>
        <item x="205"/>
        <item x="365"/>
        <item x="18"/>
        <item x="79"/>
        <item x="5"/>
        <item x="173"/>
        <item x="301"/>
        <item x="138"/>
        <item x="307"/>
        <item x="259"/>
        <item x="309"/>
        <item x="63"/>
        <item x="268"/>
        <item x="224"/>
        <item x="351"/>
        <item x="241"/>
        <item x="106"/>
        <item x="23"/>
        <item x="393"/>
        <item x="362"/>
        <item x="70"/>
        <item x="30"/>
        <item x="59"/>
        <item x="435"/>
        <item x="383"/>
        <item x="53"/>
        <item x="319"/>
        <item x="388"/>
        <item x="418"/>
        <item x="163"/>
        <item x="240"/>
        <item x="251"/>
        <item x="186"/>
        <item x="428"/>
        <item x="118"/>
        <item x="230"/>
        <item x="289"/>
        <item x="369"/>
        <item x="114"/>
        <item x="158"/>
        <item x="414"/>
        <item x="395"/>
        <item x="325"/>
        <item x="177"/>
        <item x="267"/>
        <item x="368"/>
        <item x="107"/>
        <item x="332"/>
        <item x="214"/>
        <item x="287"/>
        <item x="245"/>
        <item x="212"/>
        <item x="421"/>
        <item x="91"/>
        <item x="302"/>
        <item x="312"/>
        <item x="343"/>
        <item x="22"/>
        <item x="154"/>
        <item x="140"/>
        <item x="416"/>
        <item x="20"/>
        <item x="178"/>
        <item x="136"/>
        <item x="152"/>
        <item x="183"/>
        <item x="385"/>
        <item x="270"/>
        <item x="308"/>
        <item x="133"/>
        <item x="160"/>
        <item x="159"/>
        <item x="191"/>
        <item x="161"/>
        <item x="399"/>
        <item x="104"/>
        <item x="143"/>
        <item x="39"/>
        <item x="41"/>
        <item x="75"/>
        <item x="281"/>
        <item x="73"/>
        <item x="216"/>
        <item x="193"/>
        <item x="123"/>
        <item x="333"/>
        <item x="335"/>
        <item x="189"/>
        <item x="76"/>
        <item x="279"/>
        <item x="265"/>
        <item x="213"/>
        <item x="194"/>
        <item x="86"/>
        <item x="397"/>
        <item x="45"/>
        <item x="65"/>
        <item x="331"/>
        <item x="223"/>
        <item x="44"/>
        <item x="38"/>
        <item x="261"/>
        <item x="244"/>
        <item x="249"/>
        <item x="215"/>
        <item x="4"/>
        <item x="402"/>
        <item x="226"/>
        <item x="3"/>
        <item x="292"/>
        <item x="431"/>
        <item x="181"/>
        <item x="361"/>
        <item x="422"/>
        <item x="98"/>
        <item x="113"/>
        <item x="135"/>
        <item x="165"/>
        <item x="366"/>
        <item x="391"/>
        <item x="417"/>
        <item x="222"/>
        <item x="84"/>
        <item x="54"/>
        <item x="311"/>
        <item x="364"/>
        <item x="10"/>
        <item x="139"/>
        <item x="129"/>
        <item x="157"/>
        <item x="164"/>
        <item x="286"/>
        <item x="271"/>
        <item x="285"/>
        <item x="227"/>
        <item x="66"/>
        <item x="257"/>
        <item x="119"/>
        <item x="210"/>
        <item x="255"/>
        <item x="392"/>
        <item x="61"/>
        <item x="387"/>
        <item x="363"/>
        <item x="313"/>
        <item x="33"/>
        <item x="88"/>
        <item x="102"/>
        <item x="389"/>
        <item x="349"/>
        <item x="314"/>
        <item x="80"/>
        <item x="355"/>
        <item x="316"/>
        <item x="48"/>
        <item x="295"/>
        <item x="356"/>
        <item x="190"/>
        <item x="378"/>
        <item x="317"/>
        <item x="97"/>
        <item x="12"/>
        <item x="237"/>
        <item x="253"/>
        <item x="219"/>
        <item x="419"/>
        <item x="100"/>
        <item x="381"/>
        <item x="197"/>
        <item x="51"/>
        <item x="40"/>
        <item x="248"/>
        <item x="380"/>
        <item x="117"/>
        <item x="182"/>
        <item x="32"/>
        <item x="127"/>
        <item x="43"/>
        <item x="342"/>
        <item x="8"/>
        <item x="377"/>
        <item x="430"/>
        <item x="425"/>
        <item x="423"/>
        <item x="310"/>
        <item x="168"/>
        <item x="184"/>
        <item x="247"/>
        <item x="172"/>
        <item x="16"/>
        <item x="379"/>
        <item x="155"/>
        <item x="52"/>
        <item x="204"/>
        <item x="201"/>
        <item x="336"/>
        <item x="242"/>
        <item x="396"/>
        <item x="294"/>
        <item x="330"/>
        <item x="220"/>
        <item x="69"/>
        <item x="72"/>
        <item x="36"/>
        <item x="202"/>
        <item x="371"/>
        <item x="105"/>
        <item x="29"/>
        <item x="345"/>
        <item x="142"/>
        <item x="116"/>
        <item x="246"/>
        <item x="360"/>
        <item x="21"/>
        <item x="92"/>
        <item x="320"/>
        <item x="424"/>
        <item x="101"/>
        <item x="192"/>
        <item x="199"/>
        <item x="429"/>
        <item x="74"/>
        <item x="339"/>
        <item x="151"/>
        <item x="273"/>
        <item x="413"/>
        <item x="112"/>
        <item x="254"/>
        <item x="408"/>
        <item x="350"/>
        <item x="337"/>
        <item x="326"/>
        <item x="131"/>
        <item x="27"/>
        <item x="334"/>
        <item x="297"/>
        <item x="427"/>
        <item x="146"/>
        <item x="77"/>
        <item x="411"/>
        <item x="148"/>
        <item x="303"/>
        <item x="340"/>
        <item x="34"/>
        <item x="305"/>
        <item x="93"/>
        <item x="62"/>
        <item x="67"/>
        <item x="234"/>
        <item x="81"/>
        <item x="272"/>
        <item x="57"/>
        <item x="187"/>
        <item x="263"/>
        <item x="432"/>
        <item x="19"/>
        <item x="315"/>
        <item x="217"/>
        <item x="398"/>
        <item x="137"/>
        <item x="124"/>
        <item x="407"/>
        <item x="324"/>
        <item x="175"/>
        <item x="256"/>
        <item x="71"/>
        <item x="394"/>
        <item x="346"/>
        <item x="2"/>
        <item x="121"/>
        <item x="238"/>
        <item x="147"/>
        <item x="269"/>
        <item x="200"/>
        <item x="37"/>
        <item x="108"/>
        <item x="218"/>
        <item x="415"/>
        <item x="55"/>
        <item x="284"/>
        <item x="410"/>
        <item x="374"/>
        <item x="329"/>
        <item x="11"/>
        <item x="90"/>
        <item x="235"/>
        <item x="25"/>
        <item x="176"/>
        <item x="0"/>
        <item x="359"/>
        <item x="262"/>
        <item x="208"/>
        <item x="85"/>
        <item x="58"/>
        <item x="78"/>
        <item x="347"/>
        <item x="404"/>
        <item x="94"/>
        <item x="283"/>
        <item x="82"/>
        <item x="9"/>
        <item x="221"/>
        <item x="196"/>
        <item x="400"/>
        <item x="384"/>
        <item x="87"/>
        <item x="49"/>
        <item x="376"/>
        <item x="89"/>
        <item x="306"/>
        <item x="153"/>
        <item x="46"/>
        <item x="236"/>
        <item x="35"/>
        <item x="132"/>
        <item x="318"/>
        <item x="296"/>
        <item x="401"/>
        <item x="109"/>
        <item x="225"/>
        <item x="95"/>
        <item x="120"/>
        <item x="111"/>
        <item x="68"/>
        <item x="276"/>
        <item x="375"/>
        <item x="278"/>
        <item x="260"/>
        <item x="50"/>
        <item x="328"/>
        <item x="321"/>
        <item x="250"/>
        <item x="211"/>
        <item x="344"/>
        <item x="290"/>
        <item x="1"/>
        <item x="13"/>
        <item x="134"/>
        <item x="26"/>
        <item x="229"/>
        <item x="180"/>
        <item x="128"/>
        <item x="403"/>
        <item x="64"/>
        <item x="386"/>
        <item x="150"/>
        <item x="169"/>
        <item x="291"/>
        <item x="149"/>
        <item x="357"/>
        <item x="195"/>
        <item x="323"/>
        <item x="341"/>
        <item x="231"/>
        <item x="60"/>
        <item x="141"/>
        <item x="228"/>
        <item x="293"/>
        <item x="288"/>
        <item x="264"/>
        <item x="15"/>
        <item x="405"/>
        <item x="207"/>
        <item x="233"/>
        <item x="406"/>
        <item x="327"/>
        <item x="203"/>
        <item x="409"/>
        <item x="188"/>
        <item x="166"/>
        <item x="372"/>
        <item x="420"/>
        <item x="206"/>
        <item x="96"/>
        <item x="370"/>
        <item x="110"/>
        <item x="353"/>
        <item x="125"/>
        <item x="300"/>
        <item x="426"/>
        <item x="348"/>
        <item x="42"/>
        <item x="274"/>
        <item x="24"/>
        <item x="282"/>
        <item x="7"/>
        <item x="239"/>
        <item x="277"/>
        <item x="275"/>
        <item x="31"/>
        <item x="122"/>
        <item x="170"/>
        <item x="232"/>
        <item x="162"/>
        <item x="298"/>
        <item x="144"/>
        <item x="358"/>
        <item x="209"/>
        <item t="default"/>
      </items>
    </pivotField>
    <pivotField showAll="0"/>
    <pivotField showAll="0"/>
    <pivotField showAll="0">
      <items count="6">
        <item x="3"/>
        <item x="4"/>
        <item x="0"/>
        <item x="1"/>
        <item x="2"/>
        <item t="default"/>
      </items>
    </pivotField>
    <pivotField axis="axisRow" showAll="0" measureFilter="1">
      <items count="91">
        <item x="1"/>
        <item x="40"/>
        <item x="16"/>
        <item x="4"/>
        <item x="85"/>
        <item x="47"/>
        <item x="18"/>
        <item x="5"/>
        <item x="37"/>
        <item x="54"/>
        <item x="6"/>
        <item x="51"/>
        <item x="89"/>
        <item x="67"/>
        <item x="45"/>
        <item x="42"/>
        <item x="62"/>
        <item x="53"/>
        <item x="13"/>
        <item x="8"/>
        <item x="35"/>
        <item x="36"/>
        <item x="2"/>
        <item x="88"/>
        <item x="48"/>
        <item x="14"/>
        <item x="27"/>
        <item x="17"/>
        <item x="60"/>
        <item x="49"/>
        <item x="76"/>
        <item x="20"/>
        <item x="79"/>
        <item x="23"/>
        <item x="71"/>
        <item x="69"/>
        <item x="87"/>
        <item x="50"/>
        <item x="32"/>
        <item x="52"/>
        <item x="75"/>
        <item x="66"/>
        <item x="19"/>
        <item x="59"/>
        <item x="82"/>
        <item x="33"/>
        <item x="46"/>
        <item x="9"/>
        <item x="63"/>
        <item x="44"/>
        <item x="74"/>
        <item x="73"/>
        <item x="31"/>
        <item x="43"/>
        <item x="72"/>
        <item x="3"/>
        <item x="81"/>
        <item x="41"/>
        <item x="86"/>
        <item x="68"/>
        <item x="58"/>
        <item x="7"/>
        <item x="77"/>
        <item x="39"/>
        <item x="65"/>
        <item x="11"/>
        <item x="0"/>
        <item x="83"/>
        <item x="64"/>
        <item x="84"/>
        <item x="80"/>
        <item x="55"/>
        <item x="21"/>
        <item x="22"/>
        <item x="56"/>
        <item x="34"/>
        <item x="15"/>
        <item x="57"/>
        <item x="61"/>
        <item x="24"/>
        <item x="78"/>
        <item x="12"/>
        <item x="10"/>
        <item x="38"/>
        <item x="28"/>
        <item x="25"/>
        <item x="26"/>
        <item x="30"/>
        <item x="29"/>
        <item x="70"/>
        <item t="default"/>
      </items>
    </pivotField>
    <pivotField dataField="1" showAll="0"/>
  </pivotFields>
  <rowFields count="1">
    <field x="4"/>
  </rowFields>
  <rowItems count="11">
    <i>
      <x/>
    </i>
    <i>
      <x v="27"/>
    </i>
    <i>
      <x v="31"/>
    </i>
    <i>
      <x v="45"/>
    </i>
    <i>
      <x v="52"/>
    </i>
    <i>
      <x v="66"/>
    </i>
    <i>
      <x v="75"/>
    </i>
    <i>
      <x v="76"/>
    </i>
    <i>
      <x v="79"/>
    </i>
    <i>
      <x v="82"/>
    </i>
    <i t="grand">
      <x/>
    </i>
  </rowItems>
  <colItems count="1">
    <i/>
  </colItems>
  <dataFields count="1">
    <dataField name="Sum of total value" fld="5" baseField="0" baseItem="0"/>
  </dataFields>
  <chartFormats count="11">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4" count="1" selected="0">
            <x v="0"/>
          </reference>
        </references>
      </pivotArea>
    </chartFormat>
    <chartFormat chart="5" format="14">
      <pivotArea type="data" outline="0" fieldPosition="0">
        <references count="2">
          <reference field="4294967294" count="1" selected="0">
            <x v="0"/>
          </reference>
          <reference field="4" count="1" selected="0">
            <x v="27"/>
          </reference>
        </references>
      </pivotArea>
    </chartFormat>
    <chartFormat chart="5" format="15">
      <pivotArea type="data" outline="0" fieldPosition="0">
        <references count="2">
          <reference field="4294967294" count="1" selected="0">
            <x v="0"/>
          </reference>
          <reference field="4" count="1" selected="0">
            <x v="31"/>
          </reference>
        </references>
      </pivotArea>
    </chartFormat>
    <chartFormat chart="5" format="16">
      <pivotArea type="data" outline="0" fieldPosition="0">
        <references count="2">
          <reference field="4294967294" count="1" selected="0">
            <x v="0"/>
          </reference>
          <reference field="4" count="1" selected="0">
            <x v="45"/>
          </reference>
        </references>
      </pivotArea>
    </chartFormat>
    <chartFormat chart="5" format="17">
      <pivotArea type="data" outline="0" fieldPosition="0">
        <references count="2">
          <reference field="4294967294" count="1" selected="0">
            <x v="0"/>
          </reference>
          <reference field="4" count="1" selected="0">
            <x v="52"/>
          </reference>
        </references>
      </pivotArea>
    </chartFormat>
    <chartFormat chart="5" format="18">
      <pivotArea type="data" outline="0" fieldPosition="0">
        <references count="2">
          <reference field="4294967294" count="1" selected="0">
            <x v="0"/>
          </reference>
          <reference field="4" count="1" selected="0">
            <x v="66"/>
          </reference>
        </references>
      </pivotArea>
    </chartFormat>
    <chartFormat chart="5" format="19">
      <pivotArea type="data" outline="0" fieldPosition="0">
        <references count="2">
          <reference field="4294967294" count="1" selected="0">
            <x v="0"/>
          </reference>
          <reference field="4" count="1" selected="0">
            <x v="75"/>
          </reference>
        </references>
      </pivotArea>
    </chartFormat>
    <chartFormat chart="5" format="20">
      <pivotArea type="data" outline="0" fieldPosition="0">
        <references count="2">
          <reference field="4294967294" count="1" selected="0">
            <x v="0"/>
          </reference>
          <reference field="4" count="1" selected="0">
            <x v="76"/>
          </reference>
        </references>
      </pivotArea>
    </chartFormat>
    <chartFormat chart="5" format="21">
      <pivotArea type="data" outline="0" fieldPosition="0">
        <references count="2">
          <reference field="4294967294" count="1" selected="0">
            <x v="0"/>
          </reference>
          <reference field="4" count="1" selected="0">
            <x v="79"/>
          </reference>
        </references>
      </pivotArea>
    </chartFormat>
    <chartFormat chart="5" format="22">
      <pivotArea type="data" outline="0" fieldPosition="0">
        <references count="2">
          <reference field="4294967294" count="1" selected="0">
            <x v="0"/>
          </reference>
          <reference field="4" count="1" selected="0">
            <x v="82"/>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BE0682F-C244-49CC-B298-F1B7102B28EF}" sourceName="product_name">
  <pivotTables>
    <pivotTable tabId="6" name="PivotTable3"/>
  </pivotTables>
  <data>
    <tabular pivotCacheId="1993235221">
      <items count="436">
        <i x="367" s="1"/>
        <i x="126" s="1"/>
        <i x="179" s="1"/>
        <i x="258" s="1"/>
        <i x="322" s="1"/>
        <i x="103" s="1"/>
        <i x="185" s="1"/>
        <i x="99" s="1"/>
        <i x="145" s="1"/>
        <i x="174" s="1"/>
        <i x="83" s="1"/>
        <i x="412" s="1"/>
        <i x="243" s="1"/>
        <i x="156" s="1"/>
        <i x="17" s="1"/>
        <i x="167" s="1"/>
        <i x="14" s="1"/>
        <i x="266" s="1"/>
        <i x="373" s="1"/>
        <i x="299" s="1"/>
        <i x="6" s="1"/>
        <i x="304" s="1"/>
        <i x="390" s="1"/>
        <i x="280" s="1"/>
        <i x="28" s="1"/>
        <i x="47" s="1"/>
        <i x="56" s="1"/>
        <i x="352" s="1"/>
        <i x="198" s="1"/>
        <i x="434" s="1"/>
        <i x="433" s="1"/>
        <i x="171" s="1"/>
        <i x="252" s="1"/>
        <i x="382" s="1"/>
        <i x="338" s="1"/>
        <i x="354" s="1"/>
        <i x="130" s="1"/>
        <i x="115" s="1"/>
        <i x="205" s="1"/>
        <i x="365" s="1"/>
        <i x="18" s="1"/>
        <i x="79" s="1"/>
        <i x="5" s="1"/>
        <i x="173" s="1"/>
        <i x="301" s="1"/>
        <i x="138" s="1"/>
        <i x="307" s="1"/>
        <i x="259" s="1"/>
        <i x="309" s="1"/>
        <i x="63" s="1"/>
        <i x="268" s="1"/>
        <i x="224" s="1"/>
        <i x="351" s="1"/>
        <i x="241" s="1"/>
        <i x="106" s="1"/>
        <i x="23" s="1"/>
        <i x="393" s="1"/>
        <i x="362" s="1"/>
        <i x="70" s="1"/>
        <i x="30" s="1"/>
        <i x="59" s="1"/>
        <i x="435" s="1"/>
        <i x="383" s="1"/>
        <i x="53" s="1"/>
        <i x="319" s="1"/>
        <i x="388" s="1"/>
        <i x="418" s="1"/>
        <i x="163" s="1"/>
        <i x="240" s="1"/>
        <i x="251" s="1"/>
        <i x="186" s="1"/>
        <i x="428" s="1"/>
        <i x="118" s="1"/>
        <i x="230" s="1"/>
        <i x="289" s="1"/>
        <i x="369" s="1"/>
        <i x="114" s="1"/>
        <i x="158" s="1"/>
        <i x="414" s="1"/>
        <i x="395" s="1"/>
        <i x="325" s="1"/>
        <i x="177" s="1"/>
        <i x="267" s="1"/>
        <i x="368" s="1"/>
        <i x="107" s="1"/>
        <i x="332" s="1"/>
        <i x="214" s="1"/>
        <i x="287" s="1"/>
        <i x="245" s="1"/>
        <i x="212" s="1"/>
        <i x="421" s="1"/>
        <i x="91" s="1"/>
        <i x="302" s="1"/>
        <i x="312" s="1"/>
        <i x="343" s="1"/>
        <i x="22" s="1"/>
        <i x="154" s="1"/>
        <i x="140" s="1"/>
        <i x="416" s="1"/>
        <i x="20" s="1"/>
        <i x="178" s="1"/>
        <i x="136" s="1"/>
        <i x="152" s="1"/>
        <i x="183" s="1"/>
        <i x="385" s="1"/>
        <i x="270" s="1"/>
        <i x="308" s="1"/>
        <i x="133" s="1"/>
        <i x="160" s="1"/>
        <i x="159" s="1"/>
        <i x="191" s="1"/>
        <i x="161" s="1"/>
        <i x="399" s="1"/>
        <i x="104" s="1"/>
        <i x="143" s="1"/>
        <i x="39" s="1"/>
        <i x="41" s="1"/>
        <i x="75" s="1"/>
        <i x="281" s="1"/>
        <i x="73" s="1"/>
        <i x="216" s="1"/>
        <i x="193" s="1"/>
        <i x="123" s="1"/>
        <i x="333" s="1"/>
        <i x="335" s="1"/>
        <i x="189" s="1"/>
        <i x="76" s="1"/>
        <i x="279" s="1"/>
        <i x="265" s="1"/>
        <i x="213" s="1"/>
        <i x="194" s="1"/>
        <i x="86" s="1"/>
        <i x="397" s="1"/>
        <i x="45" s="1"/>
        <i x="65" s="1"/>
        <i x="331" s="1"/>
        <i x="223" s="1"/>
        <i x="44" s="1"/>
        <i x="38" s="1"/>
        <i x="261" s="1"/>
        <i x="244" s="1"/>
        <i x="249" s="1"/>
        <i x="215" s="1"/>
        <i x="4" s="1"/>
        <i x="402" s="1"/>
        <i x="226" s="1"/>
        <i x="3" s="1"/>
        <i x="292" s="1"/>
        <i x="431" s="1"/>
        <i x="181" s="1"/>
        <i x="361" s="1"/>
        <i x="422" s="1"/>
        <i x="98" s="1"/>
        <i x="113" s="1"/>
        <i x="135" s="1"/>
        <i x="165" s="1"/>
        <i x="366" s="1"/>
        <i x="391" s="1"/>
        <i x="417" s="1"/>
        <i x="222" s="1"/>
        <i x="84" s="1"/>
        <i x="54" s="1"/>
        <i x="311" s="1"/>
        <i x="364" s="1"/>
        <i x="10" s="1"/>
        <i x="139" s="1"/>
        <i x="129" s="1"/>
        <i x="157" s="1"/>
        <i x="164" s="1"/>
        <i x="286" s="1"/>
        <i x="271" s="1"/>
        <i x="285" s="1"/>
        <i x="227" s="1"/>
        <i x="66" s="1"/>
        <i x="257" s="1"/>
        <i x="119" s="1"/>
        <i x="210" s="1"/>
        <i x="255" s="1"/>
        <i x="392" s="1"/>
        <i x="61" s="1"/>
        <i x="387" s="1"/>
        <i x="363" s="1"/>
        <i x="313" s="1"/>
        <i x="33" s="1"/>
        <i x="88" s="1"/>
        <i x="102" s="1"/>
        <i x="389" s="1"/>
        <i x="349" s="1"/>
        <i x="314" s="1"/>
        <i x="80" s="1"/>
        <i x="355" s="1"/>
        <i x="316" s="1"/>
        <i x="48" s="1"/>
        <i x="295" s="1"/>
        <i x="356" s="1"/>
        <i x="190" s="1"/>
        <i x="378" s="1"/>
        <i x="317" s="1"/>
        <i x="97" s="1"/>
        <i x="12" s="1"/>
        <i x="237" s="1"/>
        <i x="253" s="1"/>
        <i x="219" s="1"/>
        <i x="419" s="1"/>
        <i x="100" s="1"/>
        <i x="381" s="1"/>
        <i x="197" s="1"/>
        <i x="51" s="1"/>
        <i x="40" s="1"/>
        <i x="248" s="1"/>
        <i x="380" s="1"/>
        <i x="117" s="1"/>
        <i x="182" s="1"/>
        <i x="32" s="1"/>
        <i x="127" s="1"/>
        <i x="43" s="1"/>
        <i x="342" s="1"/>
        <i x="8" s="1"/>
        <i x="377" s="1"/>
        <i x="430" s="1"/>
        <i x="425" s="1"/>
        <i x="423" s="1"/>
        <i x="310" s="1"/>
        <i x="168" s="1"/>
        <i x="184" s="1"/>
        <i x="247" s="1"/>
        <i x="172" s="1"/>
        <i x="16" s="1"/>
        <i x="379" s="1"/>
        <i x="155" s="1"/>
        <i x="52" s="1"/>
        <i x="204" s="1"/>
        <i x="201" s="1"/>
        <i x="336" s="1"/>
        <i x="242" s="1"/>
        <i x="396" s="1"/>
        <i x="294" s="1"/>
        <i x="330" s="1"/>
        <i x="220" s="1"/>
        <i x="69" s="1"/>
        <i x="72" s="1"/>
        <i x="36" s="1"/>
        <i x="202" s="1"/>
        <i x="371" s="1"/>
        <i x="105" s="1"/>
        <i x="29" s="1"/>
        <i x="345" s="1"/>
        <i x="142" s="1"/>
        <i x="116" s="1"/>
        <i x="246" s="1"/>
        <i x="360" s="1"/>
        <i x="21" s="1"/>
        <i x="92" s="1"/>
        <i x="320" s="1"/>
        <i x="424" s="1"/>
        <i x="101" s="1"/>
        <i x="192" s="1"/>
        <i x="199" s="1"/>
        <i x="429" s="1"/>
        <i x="74" s="1"/>
        <i x="339" s="1"/>
        <i x="151" s="1"/>
        <i x="273" s="1"/>
        <i x="413" s="1"/>
        <i x="112" s="1"/>
        <i x="254" s="1"/>
        <i x="408" s="1"/>
        <i x="350" s="1"/>
        <i x="337" s="1"/>
        <i x="326" s="1"/>
        <i x="131" s="1"/>
        <i x="27" s="1"/>
        <i x="334" s="1"/>
        <i x="297" s="1"/>
        <i x="427" s="1"/>
        <i x="146" s="1"/>
        <i x="77" s="1"/>
        <i x="411" s="1"/>
        <i x="148" s="1"/>
        <i x="303" s="1"/>
        <i x="340" s="1"/>
        <i x="34" s="1"/>
        <i x="305" s="1"/>
        <i x="93" s="1"/>
        <i x="62" s="1"/>
        <i x="67" s="1"/>
        <i x="234" s="1"/>
        <i x="81" s="1"/>
        <i x="272" s="1"/>
        <i x="57" s="1"/>
        <i x="187" s="1"/>
        <i x="263" s="1"/>
        <i x="432" s="1"/>
        <i x="19" s="1"/>
        <i x="315" s="1"/>
        <i x="217" s="1"/>
        <i x="398" s="1"/>
        <i x="137" s="1"/>
        <i x="124" s="1"/>
        <i x="407" s="1"/>
        <i x="324" s="1"/>
        <i x="175" s="1"/>
        <i x="256" s="1"/>
        <i x="71" s="1"/>
        <i x="394" s="1"/>
        <i x="346" s="1"/>
        <i x="2" s="1"/>
        <i x="121" s="1"/>
        <i x="238" s="1"/>
        <i x="147" s="1"/>
        <i x="269" s="1"/>
        <i x="200" s="1"/>
        <i x="37" s="1"/>
        <i x="108" s="1"/>
        <i x="218" s="1"/>
        <i x="415" s="1"/>
        <i x="55" s="1"/>
        <i x="284" s="1"/>
        <i x="410" s="1"/>
        <i x="374" s="1"/>
        <i x="329" s="1"/>
        <i x="11" s="1"/>
        <i x="90" s="1"/>
        <i x="235" s="1"/>
        <i x="25" s="1"/>
        <i x="176" s="1"/>
        <i x="0" s="1"/>
        <i x="359" s="1"/>
        <i x="262" s="1"/>
        <i x="208" s="1"/>
        <i x="85" s="1"/>
        <i x="58" s="1"/>
        <i x="78" s="1"/>
        <i x="347" s="1"/>
        <i x="404" s="1"/>
        <i x="94" s="1"/>
        <i x="283" s="1"/>
        <i x="82" s="1"/>
        <i x="9" s="1"/>
        <i x="221" s="1"/>
        <i x="196" s="1"/>
        <i x="400" s="1"/>
        <i x="384" s="1"/>
        <i x="87" s="1"/>
        <i x="49" s="1"/>
        <i x="376" s="1"/>
        <i x="89" s="1"/>
        <i x="306" s="1"/>
        <i x="153" s="1"/>
        <i x="46" s="1"/>
        <i x="236" s="1"/>
        <i x="35" s="1"/>
        <i x="132" s="1"/>
        <i x="318" s="1"/>
        <i x="296" s="1"/>
        <i x="401" s="1"/>
        <i x="109" s="1"/>
        <i x="225" s="1"/>
        <i x="95" s="1"/>
        <i x="120" s="1"/>
        <i x="111" s="1"/>
        <i x="68" s="1"/>
        <i x="276" s="1"/>
        <i x="375" s="1"/>
        <i x="278" s="1"/>
        <i x="260" s="1"/>
        <i x="50" s="1"/>
        <i x="328" s="1"/>
        <i x="321" s="1"/>
        <i x="250" s="1"/>
        <i x="211" s="1"/>
        <i x="344" s="1"/>
        <i x="290" s="1"/>
        <i x="1" s="1"/>
        <i x="13" s="1"/>
        <i x="134" s="1"/>
        <i x="26" s="1"/>
        <i x="229" s="1"/>
        <i x="180" s="1"/>
        <i x="128" s="1"/>
        <i x="403" s="1"/>
        <i x="64" s="1"/>
        <i x="386" s="1"/>
        <i x="150" s="1"/>
        <i x="169" s="1"/>
        <i x="291" s="1"/>
        <i x="149" s="1"/>
        <i x="357" s="1"/>
        <i x="195" s="1"/>
        <i x="323" s="1"/>
        <i x="341" s="1"/>
        <i x="231" s="1"/>
        <i x="60" s="1"/>
        <i x="141" s="1"/>
        <i x="228" s="1"/>
        <i x="293" s="1"/>
        <i x="288" s="1"/>
        <i x="264" s="1"/>
        <i x="15" s="1"/>
        <i x="405" s="1"/>
        <i x="207" s="1"/>
        <i x="233" s="1"/>
        <i x="406" s="1"/>
        <i x="327" s="1"/>
        <i x="203" s="1"/>
        <i x="409" s="1"/>
        <i x="188" s="1"/>
        <i x="166" s="1"/>
        <i x="372" s="1"/>
        <i x="420" s="1"/>
        <i x="206" s="1"/>
        <i x="96" s="1"/>
        <i x="370" s="1"/>
        <i x="110" s="1"/>
        <i x="353" s="1"/>
        <i x="125" s="1"/>
        <i x="300" s="1"/>
        <i x="426" s="1"/>
        <i x="348" s="1"/>
        <i x="42" s="1"/>
        <i x="274" s="1"/>
        <i x="24" s="1"/>
        <i x="282" s="1"/>
        <i x="7" s="1"/>
        <i x="239" s="1"/>
        <i x="277" s="1"/>
        <i x="275" s="1"/>
        <i x="31" s="1"/>
        <i x="122" s="1"/>
        <i x="170" s="1"/>
        <i x="232" s="1"/>
        <i x="162" s="1"/>
        <i x="298" s="1"/>
        <i x="144" s="1"/>
        <i x="358" s="1"/>
        <i x="20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12A2C9-DF1A-4A8D-870A-F396A2CD3FF5}" sourceName="category">
  <pivotTables>
    <pivotTable tabId="6" name="PivotTable3"/>
  </pivotTables>
  <data>
    <tabular pivotCacheId="1993235221">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brand" xr10:uid="{815FA7D9-A904-48BE-992D-A69F8E3C759D}" sourceName="product_brand">
  <pivotTables>
    <pivotTable tabId="6" name="PivotTable3"/>
  </pivotTables>
  <data>
    <tabular pivotCacheId="1993235221">
      <items count="90">
        <i x="1" s="1"/>
        <i x="40" s="1"/>
        <i x="16" s="1"/>
        <i x="4" s="1"/>
        <i x="85" s="1"/>
        <i x="47" s="1"/>
        <i x="18" s="1"/>
        <i x="5" s="1"/>
        <i x="37" s="1"/>
        <i x="54" s="1"/>
        <i x="6" s="1"/>
        <i x="51" s="1"/>
        <i x="89" s="1"/>
        <i x="67" s="1"/>
        <i x="45" s="1"/>
        <i x="42" s="1"/>
        <i x="62" s="1"/>
        <i x="53" s="1"/>
        <i x="13" s="1"/>
        <i x="8" s="1"/>
        <i x="35" s="1"/>
        <i x="36" s="1"/>
        <i x="2" s="1"/>
        <i x="88" s="1"/>
        <i x="48" s="1"/>
        <i x="14" s="1"/>
        <i x="27" s="1"/>
        <i x="17" s="1"/>
        <i x="60" s="1"/>
        <i x="49" s="1"/>
        <i x="76" s="1"/>
        <i x="20" s="1"/>
        <i x="79" s="1"/>
        <i x="23" s="1"/>
        <i x="71" s="1"/>
        <i x="69" s="1"/>
        <i x="87" s="1"/>
        <i x="50" s="1"/>
        <i x="32" s="1"/>
        <i x="52" s="1"/>
        <i x="75" s="1"/>
        <i x="66" s="1"/>
        <i x="19" s="1"/>
        <i x="59" s="1"/>
        <i x="82" s="1"/>
        <i x="33" s="1"/>
        <i x="46" s="1"/>
        <i x="9" s="1"/>
        <i x="63" s="1"/>
        <i x="44" s="1"/>
        <i x="74" s="1"/>
        <i x="73" s="1"/>
        <i x="31" s="1"/>
        <i x="43" s="1"/>
        <i x="72" s="1"/>
        <i x="3" s="1"/>
        <i x="81" s="1"/>
        <i x="41" s="1"/>
        <i x="86" s="1"/>
        <i x="68" s="1"/>
        <i x="58" s="1"/>
        <i x="7" s="1"/>
        <i x="77" s="1"/>
        <i x="39" s="1"/>
        <i x="65" s="1"/>
        <i x="11" s="1"/>
        <i x="0" s="1"/>
        <i x="83" s="1"/>
        <i x="64" s="1"/>
        <i x="84" s="1"/>
        <i x="80" s="1"/>
        <i x="55" s="1"/>
        <i x="21" s="1"/>
        <i x="22" s="1"/>
        <i x="56" s="1"/>
        <i x="34" s="1"/>
        <i x="15" s="1"/>
        <i x="57" s="1"/>
        <i x="61" s="1"/>
        <i x="24" s="1"/>
        <i x="78" s="1"/>
        <i x="12" s="1"/>
        <i x="10" s="1"/>
        <i x="38" s="1"/>
        <i x="28" s="1"/>
        <i x="25" s="1"/>
        <i x="26" s="1"/>
        <i x="30" s="1"/>
        <i x="29" s="1"/>
        <i x="7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F4784C63-9131-46A4-81D8-D9878F36F58F}" cache="Slicer_product_name" caption="product_name" columnCount="2" rowHeight="251883"/>
  <slicer name="category" xr10:uid="{3FCE8FAF-4184-4FE0-8AE0-021F619B086C}" cache="Slicer_category" caption="category" columnCount="3" rowHeight="251883"/>
  <slicer name="product_brand" xr10:uid="{B1BCE4E3-688D-45C0-82A8-84865C12E82E}" cache="Slicer_product_brand" caption="product_bran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17C73-78EE-456D-BD62-3AC1C6640493}" name="Table1" displayName="Table1" ref="A1:F501" totalsRowShown="0" headerRowDxfId="0">
  <autoFilter ref="A1:F501" xr:uid="{72517C73-78EE-456D-BD62-3AC1C6640493}"/>
  <tableColumns count="6">
    <tableColumn id="1" xr3:uid="{243386FA-550A-40C5-A13F-F33225128851}" name="product_name"/>
    <tableColumn id="2" xr3:uid="{EF1E1260-8CB7-4EF3-8375-57961756986F}" name="price"/>
    <tableColumn id="3" xr3:uid="{A0F225C2-2212-4777-B88B-9FA9D4540033}" name="stock_quantity"/>
    <tableColumn id="4" xr3:uid="{AFD7D5CE-B386-402D-B2D0-825A443610AE}" name="category"/>
    <tableColumn id="5" xr3:uid="{5D506406-B61B-473F-AAEF-AF77DF7662D4}" name="product_brand"/>
    <tableColumn id="6" xr3:uid="{72C0B203-168B-46A6-9AA8-6085A8F674EC}" name="total value">
      <calculatedColumnFormula>B2*C2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CC35-47D2-416C-B45F-8FCEFDD3E8B9}">
  <dimension ref="A3:B14"/>
  <sheetViews>
    <sheetView workbookViewId="0">
      <selection activeCell="A12" sqref="A3:B14"/>
    </sheetView>
  </sheetViews>
  <sheetFormatPr defaultRowHeight="14.5" x14ac:dyDescent="0.35"/>
  <cols>
    <col min="1" max="1" width="29.26953125" bestFit="1" customWidth="1"/>
    <col min="2" max="2" width="15.81640625" bestFit="1" customWidth="1"/>
  </cols>
  <sheetData>
    <row r="3" spans="1:2" x14ac:dyDescent="0.35">
      <c r="A3" s="4" t="s">
        <v>542</v>
      </c>
      <c r="B3" t="s">
        <v>544</v>
      </c>
    </row>
    <row r="4" spans="1:2" x14ac:dyDescent="0.35">
      <c r="A4" s="5" t="s">
        <v>192</v>
      </c>
      <c r="B4" s="6">
        <v>982355.10000000009</v>
      </c>
    </row>
    <row r="5" spans="1:2" x14ac:dyDescent="0.35">
      <c r="A5" s="5" t="s">
        <v>300</v>
      </c>
      <c r="B5" s="6">
        <v>993022.02</v>
      </c>
    </row>
    <row r="6" spans="1:2" x14ac:dyDescent="0.35">
      <c r="A6" s="5" t="s">
        <v>52</v>
      </c>
      <c r="B6" s="6">
        <v>978581.64</v>
      </c>
    </row>
    <row r="7" spans="1:2" x14ac:dyDescent="0.35">
      <c r="A7" s="5" t="s">
        <v>352</v>
      </c>
      <c r="B7" s="6">
        <v>1002200.14</v>
      </c>
    </row>
    <row r="8" spans="1:2" x14ac:dyDescent="0.35">
      <c r="A8" s="5" t="s">
        <v>261</v>
      </c>
      <c r="B8" s="6">
        <v>954037.32999999984</v>
      </c>
    </row>
    <row r="9" spans="1:2" x14ac:dyDescent="0.35">
      <c r="A9" s="5" t="s">
        <v>92</v>
      </c>
      <c r="B9" s="6">
        <v>1267061.97</v>
      </c>
    </row>
    <row r="10" spans="1:2" x14ac:dyDescent="0.35">
      <c r="A10" s="5" t="s">
        <v>131</v>
      </c>
      <c r="B10" s="6">
        <v>936117</v>
      </c>
    </row>
    <row r="11" spans="1:2" x14ac:dyDescent="0.35">
      <c r="A11" s="5" t="s">
        <v>179</v>
      </c>
      <c r="B11" s="6">
        <v>1182457.77</v>
      </c>
    </row>
    <row r="12" spans="1:2" x14ac:dyDescent="0.35">
      <c r="A12" s="5" t="s">
        <v>259</v>
      </c>
      <c r="B12" s="6">
        <v>1707202.83</v>
      </c>
    </row>
    <row r="13" spans="1:2" x14ac:dyDescent="0.35">
      <c r="A13" s="5" t="s">
        <v>520</v>
      </c>
      <c r="B13" s="6">
        <v>978746.88</v>
      </c>
    </row>
    <row r="14" spans="1:2" x14ac:dyDescent="0.35">
      <c r="A14" s="5" t="s">
        <v>543</v>
      </c>
      <c r="B14" s="6">
        <v>10981782.680000002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EA22-383E-4847-A926-BFC00DF4458E}">
  <dimension ref="A1:B7"/>
  <sheetViews>
    <sheetView workbookViewId="0">
      <selection activeCell="B3" sqref="A1:B7"/>
    </sheetView>
  </sheetViews>
  <sheetFormatPr defaultRowHeight="14.5" x14ac:dyDescent="0.35"/>
  <cols>
    <col min="1" max="1" width="12.453125" bestFit="1" customWidth="1"/>
    <col min="2" max="2" width="15.81640625" bestFit="1" customWidth="1"/>
  </cols>
  <sheetData>
    <row r="1" spans="1:2" x14ac:dyDescent="0.35">
      <c r="A1" s="4" t="s">
        <v>542</v>
      </c>
      <c r="B1" t="s">
        <v>544</v>
      </c>
    </row>
    <row r="2" spans="1:2" x14ac:dyDescent="0.35">
      <c r="A2" s="5" t="s">
        <v>14</v>
      </c>
      <c r="B2" s="6">
        <v>24630578.170000002</v>
      </c>
    </row>
    <row r="3" spans="1:2" x14ac:dyDescent="0.35">
      <c r="A3" s="5" t="s">
        <v>17</v>
      </c>
      <c r="B3" s="6">
        <v>19542568.369999994</v>
      </c>
    </row>
    <row r="4" spans="1:2" x14ac:dyDescent="0.35">
      <c r="A4" s="5" t="s">
        <v>6</v>
      </c>
      <c r="B4" s="6">
        <v>24339183.259999998</v>
      </c>
    </row>
    <row r="5" spans="1:2" x14ac:dyDescent="0.35">
      <c r="A5" s="5" t="s">
        <v>9</v>
      </c>
      <c r="B5" s="6">
        <v>24133792.220000006</v>
      </c>
    </row>
    <row r="6" spans="1:2" x14ac:dyDescent="0.35">
      <c r="A6" s="5" t="s">
        <v>12</v>
      </c>
      <c r="B6" s="6">
        <v>23133756.900000002</v>
      </c>
    </row>
    <row r="7" spans="1:2" x14ac:dyDescent="0.35">
      <c r="A7" s="5" t="s">
        <v>543</v>
      </c>
      <c r="B7" s="6">
        <v>115779878.91999999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BC9A-71BA-4452-AD8D-95E4CAA4A93C}">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3456-9C42-4275-A227-63BA22B4A591}">
  <dimension ref="A1:B12"/>
  <sheetViews>
    <sheetView workbookViewId="0">
      <selection activeCell="H10" sqref="H10"/>
    </sheetView>
  </sheetViews>
  <sheetFormatPr defaultRowHeight="14.5" x14ac:dyDescent="0.35"/>
  <cols>
    <col min="1" max="1" width="18.1796875" bestFit="1" customWidth="1"/>
    <col min="2" max="2" width="15.81640625" bestFit="1" customWidth="1"/>
  </cols>
  <sheetData>
    <row r="1" spans="1:2" x14ac:dyDescent="0.35">
      <c r="A1" s="4" t="s">
        <v>542</v>
      </c>
      <c r="B1" t="s">
        <v>544</v>
      </c>
    </row>
    <row r="2" spans="1:2" x14ac:dyDescent="0.35">
      <c r="A2" s="5" t="s">
        <v>10</v>
      </c>
      <c r="B2" s="6">
        <v>3099268.43</v>
      </c>
    </row>
    <row r="3" spans="1:2" x14ac:dyDescent="0.35">
      <c r="A3" s="5" t="s">
        <v>48</v>
      </c>
      <c r="B3" s="6">
        <v>3463776.53</v>
      </c>
    </row>
    <row r="4" spans="1:2" x14ac:dyDescent="0.35">
      <c r="A4" s="5" t="s">
        <v>57</v>
      </c>
      <c r="B4" s="6">
        <v>5795101.75</v>
      </c>
    </row>
    <row r="5" spans="1:2" x14ac:dyDescent="0.35">
      <c r="A5" s="5" t="s">
        <v>108</v>
      </c>
      <c r="B5" s="6">
        <v>3834910.5300000003</v>
      </c>
    </row>
    <row r="6" spans="1:2" x14ac:dyDescent="0.35">
      <c r="A6" s="5" t="s">
        <v>96</v>
      </c>
      <c r="B6" s="6">
        <v>3117763.87</v>
      </c>
    </row>
    <row r="7" spans="1:2" x14ac:dyDescent="0.35">
      <c r="A7" s="5" t="s">
        <v>7</v>
      </c>
      <c r="B7" s="6">
        <v>7771074.5500000007</v>
      </c>
    </row>
    <row r="8" spans="1:2" x14ac:dyDescent="0.35">
      <c r="A8" s="5" t="s">
        <v>112</v>
      </c>
      <c r="B8" s="6">
        <v>3322279.0700000003</v>
      </c>
    </row>
    <row r="9" spans="1:2" x14ac:dyDescent="0.35">
      <c r="A9" s="5" t="s">
        <v>44</v>
      </c>
      <c r="B9" s="6">
        <v>7422417.919999999</v>
      </c>
    </row>
    <row r="10" spans="1:2" x14ac:dyDescent="0.35">
      <c r="A10" s="5" t="s">
        <v>72</v>
      </c>
      <c r="B10" s="6">
        <v>11154676.57</v>
      </c>
    </row>
    <row r="11" spans="1:2" x14ac:dyDescent="0.35">
      <c r="A11" s="5" t="s">
        <v>33</v>
      </c>
      <c r="B11" s="6">
        <v>3256209.7899999996</v>
      </c>
    </row>
    <row r="12" spans="1:2" x14ac:dyDescent="0.35">
      <c r="A12" s="5" t="s">
        <v>543</v>
      </c>
      <c r="B12" s="6">
        <v>52237479.010000005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C940-3850-450D-8364-BC6A42F28588}">
  <dimension ref="A1:F501"/>
  <sheetViews>
    <sheetView topLeftCell="A2" workbookViewId="0">
      <selection activeCell="C16" sqref="A2:F501"/>
    </sheetView>
  </sheetViews>
  <sheetFormatPr defaultColWidth="17.36328125" defaultRowHeight="14.5" x14ac:dyDescent="0.35"/>
  <sheetData>
    <row r="1" spans="1:6" ht="16" x14ac:dyDescent="0.4">
      <c r="A1" s="1" t="s">
        <v>0</v>
      </c>
      <c r="B1" s="1" t="s">
        <v>1</v>
      </c>
      <c r="C1" s="1" t="s">
        <v>2</v>
      </c>
      <c r="D1" s="1" t="s">
        <v>3</v>
      </c>
      <c r="E1" s="1" t="s">
        <v>4</v>
      </c>
      <c r="F1" s="1" t="s">
        <v>536</v>
      </c>
    </row>
    <row r="2" spans="1:6" x14ac:dyDescent="0.35">
      <c r="A2" t="s">
        <v>5</v>
      </c>
      <c r="B2">
        <v>359.44</v>
      </c>
      <c r="C2">
        <v>389</v>
      </c>
      <c r="D2" t="s">
        <v>6</v>
      </c>
      <c r="E2" t="s">
        <v>7</v>
      </c>
      <c r="F2">
        <f>B2*C2</f>
        <v>139822.16</v>
      </c>
    </row>
    <row r="3" spans="1:6" x14ac:dyDescent="0.35">
      <c r="A3" t="s">
        <v>8</v>
      </c>
      <c r="B3">
        <v>892.28</v>
      </c>
      <c r="C3">
        <v>357</v>
      </c>
      <c r="D3" t="s">
        <v>9</v>
      </c>
      <c r="E3" t="s">
        <v>10</v>
      </c>
      <c r="F3">
        <f t="shared" ref="F3:F66" si="0">B3*C3</f>
        <v>318543.95999999996</v>
      </c>
    </row>
    <row r="4" spans="1:6" x14ac:dyDescent="0.35">
      <c r="A4" t="s">
        <v>11</v>
      </c>
      <c r="B4">
        <v>637.52</v>
      </c>
      <c r="C4">
        <v>204</v>
      </c>
      <c r="D4" t="s">
        <v>12</v>
      </c>
      <c r="E4" t="s">
        <v>7</v>
      </c>
      <c r="F4">
        <f t="shared" si="0"/>
        <v>130054.08</v>
      </c>
    </row>
    <row r="5" spans="1:6" x14ac:dyDescent="0.35">
      <c r="A5" t="s">
        <v>13</v>
      </c>
      <c r="B5">
        <v>244.26</v>
      </c>
      <c r="C5">
        <v>171</v>
      </c>
      <c r="D5" t="s">
        <v>14</v>
      </c>
      <c r="E5" t="s">
        <v>15</v>
      </c>
      <c r="F5">
        <f t="shared" si="0"/>
        <v>41768.46</v>
      </c>
    </row>
    <row r="6" spans="1:6" x14ac:dyDescent="0.35">
      <c r="A6" t="s">
        <v>16</v>
      </c>
      <c r="B6">
        <v>558.70000000000005</v>
      </c>
      <c r="C6">
        <v>741</v>
      </c>
      <c r="D6" t="s">
        <v>17</v>
      </c>
      <c r="E6" t="s">
        <v>18</v>
      </c>
      <c r="F6">
        <f t="shared" si="0"/>
        <v>413996.7</v>
      </c>
    </row>
    <row r="7" spans="1:6" x14ac:dyDescent="0.35">
      <c r="A7" t="s">
        <v>19</v>
      </c>
      <c r="B7">
        <v>540.67999999999995</v>
      </c>
      <c r="C7">
        <v>945</v>
      </c>
      <c r="D7" t="s">
        <v>9</v>
      </c>
      <c r="E7" t="s">
        <v>20</v>
      </c>
      <c r="F7">
        <f t="shared" si="0"/>
        <v>510942.6</v>
      </c>
    </row>
    <row r="8" spans="1:6" x14ac:dyDescent="0.35">
      <c r="A8" t="s">
        <v>21</v>
      </c>
      <c r="B8">
        <v>288.04000000000002</v>
      </c>
      <c r="C8">
        <v>838</v>
      </c>
      <c r="D8" t="s">
        <v>14</v>
      </c>
      <c r="E8" t="s">
        <v>10</v>
      </c>
      <c r="F8">
        <f t="shared" si="0"/>
        <v>241377.52000000002</v>
      </c>
    </row>
    <row r="9" spans="1:6" x14ac:dyDescent="0.35">
      <c r="A9" t="s">
        <v>22</v>
      </c>
      <c r="B9">
        <v>283.47000000000003</v>
      </c>
      <c r="C9">
        <v>363</v>
      </c>
      <c r="D9" t="s">
        <v>17</v>
      </c>
      <c r="E9" t="s">
        <v>23</v>
      </c>
      <c r="F9">
        <f t="shared" si="0"/>
        <v>102899.61000000002</v>
      </c>
    </row>
    <row r="10" spans="1:6" x14ac:dyDescent="0.35">
      <c r="A10" t="s">
        <v>24</v>
      </c>
      <c r="B10">
        <v>41.65</v>
      </c>
      <c r="C10">
        <v>101</v>
      </c>
      <c r="D10" t="s">
        <v>17</v>
      </c>
      <c r="E10" t="s">
        <v>25</v>
      </c>
      <c r="F10">
        <f t="shared" si="0"/>
        <v>4206.6499999999996</v>
      </c>
    </row>
    <row r="11" spans="1:6" x14ac:dyDescent="0.35">
      <c r="A11" t="s">
        <v>26</v>
      </c>
      <c r="B11">
        <v>911.46</v>
      </c>
      <c r="C11">
        <v>76</v>
      </c>
      <c r="D11" t="s">
        <v>17</v>
      </c>
      <c r="E11" t="s">
        <v>27</v>
      </c>
      <c r="F11">
        <f t="shared" si="0"/>
        <v>69270.960000000006</v>
      </c>
    </row>
    <row r="12" spans="1:6" x14ac:dyDescent="0.35">
      <c r="A12" t="s">
        <v>28</v>
      </c>
      <c r="B12">
        <v>322.52999999999997</v>
      </c>
      <c r="C12">
        <v>365</v>
      </c>
      <c r="D12" t="s">
        <v>17</v>
      </c>
      <c r="E12" t="s">
        <v>29</v>
      </c>
      <c r="F12">
        <f t="shared" si="0"/>
        <v>117723.45</v>
      </c>
    </row>
    <row r="13" spans="1:6" x14ac:dyDescent="0.35">
      <c r="A13" t="s">
        <v>30</v>
      </c>
      <c r="B13">
        <v>729.55</v>
      </c>
      <c r="C13">
        <v>119</v>
      </c>
      <c r="D13" t="s">
        <v>9</v>
      </c>
      <c r="E13" t="s">
        <v>31</v>
      </c>
      <c r="F13">
        <f t="shared" si="0"/>
        <v>86816.45</v>
      </c>
    </row>
    <row r="14" spans="1:6" x14ac:dyDescent="0.35">
      <c r="A14" t="s">
        <v>32</v>
      </c>
      <c r="B14">
        <v>373.37</v>
      </c>
      <c r="C14">
        <v>932</v>
      </c>
      <c r="D14" t="s">
        <v>12</v>
      </c>
      <c r="E14" t="s">
        <v>33</v>
      </c>
      <c r="F14">
        <f t="shared" si="0"/>
        <v>347980.84</v>
      </c>
    </row>
    <row r="15" spans="1:6" x14ac:dyDescent="0.35">
      <c r="A15" t="s">
        <v>34</v>
      </c>
      <c r="B15">
        <v>708.6</v>
      </c>
      <c r="C15">
        <v>138</v>
      </c>
      <c r="D15" t="s">
        <v>17</v>
      </c>
      <c r="E15" t="s">
        <v>35</v>
      </c>
      <c r="F15">
        <f t="shared" si="0"/>
        <v>97786.8</v>
      </c>
    </row>
    <row r="16" spans="1:6" x14ac:dyDescent="0.35">
      <c r="A16" t="s">
        <v>36</v>
      </c>
      <c r="B16">
        <v>186.03</v>
      </c>
      <c r="C16">
        <v>486</v>
      </c>
      <c r="D16" t="s">
        <v>6</v>
      </c>
      <c r="E16" t="s">
        <v>7</v>
      </c>
      <c r="F16">
        <f t="shared" si="0"/>
        <v>90410.58</v>
      </c>
    </row>
    <row r="17" spans="1:6" x14ac:dyDescent="0.35">
      <c r="A17" t="s">
        <v>37</v>
      </c>
      <c r="B17">
        <v>101.73</v>
      </c>
      <c r="C17">
        <v>953</v>
      </c>
      <c r="D17" t="s">
        <v>17</v>
      </c>
      <c r="E17" t="s">
        <v>38</v>
      </c>
      <c r="F17">
        <f t="shared" si="0"/>
        <v>96948.69</v>
      </c>
    </row>
    <row r="18" spans="1:6" x14ac:dyDescent="0.35">
      <c r="A18" t="s">
        <v>39</v>
      </c>
      <c r="B18">
        <v>466.37</v>
      </c>
      <c r="C18">
        <v>919</v>
      </c>
      <c r="D18" t="s">
        <v>9</v>
      </c>
      <c r="E18" t="s">
        <v>40</v>
      </c>
      <c r="F18">
        <f t="shared" si="0"/>
        <v>428594.03</v>
      </c>
    </row>
    <row r="19" spans="1:6" x14ac:dyDescent="0.35">
      <c r="A19" t="s">
        <v>41</v>
      </c>
      <c r="B19">
        <v>731.52</v>
      </c>
      <c r="C19">
        <v>396</v>
      </c>
      <c r="D19" t="s">
        <v>17</v>
      </c>
      <c r="E19" t="s">
        <v>42</v>
      </c>
      <c r="F19">
        <f t="shared" si="0"/>
        <v>289681.91999999998</v>
      </c>
    </row>
    <row r="20" spans="1:6" x14ac:dyDescent="0.35">
      <c r="A20" t="s">
        <v>43</v>
      </c>
      <c r="B20">
        <v>219.84</v>
      </c>
      <c r="C20">
        <v>429</v>
      </c>
      <c r="D20" t="s">
        <v>6</v>
      </c>
      <c r="E20" t="s">
        <v>44</v>
      </c>
      <c r="F20">
        <f t="shared" si="0"/>
        <v>94311.360000000001</v>
      </c>
    </row>
    <row r="21" spans="1:6" x14ac:dyDescent="0.35">
      <c r="A21" t="s">
        <v>45</v>
      </c>
      <c r="B21">
        <v>238.83</v>
      </c>
      <c r="C21">
        <v>575</v>
      </c>
      <c r="D21" t="s">
        <v>17</v>
      </c>
      <c r="E21" t="s">
        <v>46</v>
      </c>
      <c r="F21">
        <f t="shared" si="0"/>
        <v>137327.25</v>
      </c>
    </row>
    <row r="22" spans="1:6" x14ac:dyDescent="0.35">
      <c r="A22" t="s">
        <v>47</v>
      </c>
      <c r="B22">
        <v>788.94</v>
      </c>
      <c r="C22">
        <v>360</v>
      </c>
      <c r="D22" t="s">
        <v>17</v>
      </c>
      <c r="E22" t="s">
        <v>48</v>
      </c>
      <c r="F22">
        <f t="shared" si="0"/>
        <v>284018.40000000002</v>
      </c>
    </row>
    <row r="23" spans="1:6" x14ac:dyDescent="0.35">
      <c r="A23" t="s">
        <v>49</v>
      </c>
      <c r="B23">
        <v>62.05</v>
      </c>
      <c r="C23">
        <v>216</v>
      </c>
      <c r="D23" t="s">
        <v>6</v>
      </c>
      <c r="E23" t="s">
        <v>33</v>
      </c>
      <c r="F23">
        <f t="shared" si="0"/>
        <v>13402.8</v>
      </c>
    </row>
    <row r="24" spans="1:6" x14ac:dyDescent="0.35">
      <c r="A24" t="s">
        <v>50</v>
      </c>
      <c r="B24">
        <v>436.35</v>
      </c>
      <c r="C24">
        <v>594</v>
      </c>
      <c r="D24" t="s">
        <v>17</v>
      </c>
      <c r="E24" t="s">
        <v>51</v>
      </c>
      <c r="F24">
        <f t="shared" si="0"/>
        <v>259191.90000000002</v>
      </c>
    </row>
    <row r="25" spans="1:6" x14ac:dyDescent="0.35">
      <c r="A25" t="s">
        <v>52</v>
      </c>
      <c r="B25">
        <v>985.48</v>
      </c>
      <c r="C25">
        <v>993</v>
      </c>
      <c r="D25" t="s">
        <v>9</v>
      </c>
      <c r="E25" t="s">
        <v>53</v>
      </c>
      <c r="F25">
        <f t="shared" si="0"/>
        <v>978581.64</v>
      </c>
    </row>
    <row r="26" spans="1:6" x14ac:dyDescent="0.35">
      <c r="A26" t="s">
        <v>54</v>
      </c>
      <c r="B26">
        <v>349.87</v>
      </c>
      <c r="C26">
        <v>98</v>
      </c>
      <c r="D26" t="s">
        <v>14</v>
      </c>
      <c r="E26" t="s">
        <v>44</v>
      </c>
      <c r="F26">
        <f t="shared" si="0"/>
        <v>34287.26</v>
      </c>
    </row>
    <row r="27" spans="1:6" x14ac:dyDescent="0.35">
      <c r="A27" t="s">
        <v>55</v>
      </c>
      <c r="B27">
        <v>484.28</v>
      </c>
      <c r="C27">
        <v>870</v>
      </c>
      <c r="D27" t="s">
        <v>12</v>
      </c>
      <c r="E27" t="s">
        <v>44</v>
      </c>
      <c r="F27">
        <f t="shared" si="0"/>
        <v>421323.6</v>
      </c>
    </row>
    <row r="28" spans="1:6" x14ac:dyDescent="0.35">
      <c r="A28" t="s">
        <v>56</v>
      </c>
      <c r="B28">
        <v>923.58</v>
      </c>
      <c r="C28">
        <v>98</v>
      </c>
      <c r="D28" t="s">
        <v>6</v>
      </c>
      <c r="E28" t="s">
        <v>57</v>
      </c>
      <c r="F28">
        <f t="shared" si="0"/>
        <v>90510.840000000011</v>
      </c>
    </row>
    <row r="29" spans="1:6" x14ac:dyDescent="0.35">
      <c r="A29" t="s">
        <v>58</v>
      </c>
      <c r="B29">
        <v>456.47</v>
      </c>
      <c r="C29">
        <v>490</v>
      </c>
      <c r="D29" t="s">
        <v>9</v>
      </c>
      <c r="E29" t="s">
        <v>44</v>
      </c>
      <c r="F29">
        <f t="shared" si="0"/>
        <v>223670.30000000002</v>
      </c>
    </row>
    <row r="30" spans="1:6" x14ac:dyDescent="0.35">
      <c r="A30" t="s">
        <v>59</v>
      </c>
      <c r="B30">
        <v>763.68</v>
      </c>
      <c r="C30">
        <v>790</v>
      </c>
      <c r="D30" t="s">
        <v>9</v>
      </c>
      <c r="E30" t="s">
        <v>46</v>
      </c>
      <c r="F30">
        <f t="shared" si="0"/>
        <v>603307.19999999995</v>
      </c>
    </row>
    <row r="31" spans="1:6" x14ac:dyDescent="0.35">
      <c r="A31" t="s">
        <v>60</v>
      </c>
      <c r="B31">
        <v>329.73</v>
      </c>
      <c r="C31">
        <v>612</v>
      </c>
      <c r="D31" t="s">
        <v>6</v>
      </c>
      <c r="E31" t="s">
        <v>27</v>
      </c>
      <c r="F31">
        <f t="shared" si="0"/>
        <v>201794.76</v>
      </c>
    </row>
    <row r="32" spans="1:6" x14ac:dyDescent="0.35">
      <c r="A32" t="s">
        <v>61</v>
      </c>
      <c r="B32">
        <v>802.11</v>
      </c>
      <c r="C32">
        <v>142</v>
      </c>
      <c r="D32" t="s">
        <v>12</v>
      </c>
      <c r="E32" t="s">
        <v>57</v>
      </c>
      <c r="F32">
        <f t="shared" si="0"/>
        <v>113899.62</v>
      </c>
    </row>
    <row r="33" spans="1:6" x14ac:dyDescent="0.35">
      <c r="A33" t="s">
        <v>62</v>
      </c>
      <c r="B33">
        <v>165.31</v>
      </c>
      <c r="C33">
        <v>416</v>
      </c>
      <c r="D33" t="s">
        <v>12</v>
      </c>
      <c r="E33" t="s">
        <v>63</v>
      </c>
      <c r="F33">
        <f t="shared" si="0"/>
        <v>68768.960000000006</v>
      </c>
    </row>
    <row r="34" spans="1:6" x14ac:dyDescent="0.35">
      <c r="A34" t="s">
        <v>64</v>
      </c>
      <c r="B34">
        <v>10.37</v>
      </c>
      <c r="C34">
        <v>211</v>
      </c>
      <c r="D34" t="s">
        <v>14</v>
      </c>
      <c r="E34" t="s">
        <v>57</v>
      </c>
      <c r="F34">
        <f t="shared" si="0"/>
        <v>2188.0699999999997</v>
      </c>
    </row>
    <row r="35" spans="1:6" x14ac:dyDescent="0.35">
      <c r="A35" t="s">
        <v>65</v>
      </c>
      <c r="B35">
        <v>877.33</v>
      </c>
      <c r="C35">
        <v>172</v>
      </c>
      <c r="D35" t="s">
        <v>12</v>
      </c>
      <c r="E35" t="s">
        <v>66</v>
      </c>
      <c r="F35">
        <f t="shared" si="0"/>
        <v>150900.76</v>
      </c>
    </row>
    <row r="36" spans="1:6" x14ac:dyDescent="0.35">
      <c r="A36" t="s">
        <v>67</v>
      </c>
      <c r="B36">
        <v>43.59</v>
      </c>
      <c r="C36">
        <v>529</v>
      </c>
      <c r="D36" t="s">
        <v>9</v>
      </c>
      <c r="E36" t="s">
        <v>66</v>
      </c>
      <c r="F36">
        <f t="shared" si="0"/>
        <v>23059.11</v>
      </c>
    </row>
    <row r="37" spans="1:6" x14ac:dyDescent="0.35">
      <c r="A37" t="s">
        <v>68</v>
      </c>
      <c r="B37">
        <v>81.19</v>
      </c>
      <c r="C37">
        <v>84</v>
      </c>
      <c r="D37" t="s">
        <v>14</v>
      </c>
      <c r="E37" t="s">
        <v>69</v>
      </c>
      <c r="F37">
        <f t="shared" si="0"/>
        <v>6819.96</v>
      </c>
    </row>
    <row r="38" spans="1:6" x14ac:dyDescent="0.35">
      <c r="A38" t="s">
        <v>70</v>
      </c>
      <c r="B38">
        <v>382.77</v>
      </c>
      <c r="C38">
        <v>20</v>
      </c>
      <c r="D38" t="s">
        <v>9</v>
      </c>
      <c r="E38" t="s">
        <v>15</v>
      </c>
      <c r="F38">
        <f t="shared" si="0"/>
        <v>7655.4</v>
      </c>
    </row>
    <row r="39" spans="1:6" x14ac:dyDescent="0.35">
      <c r="A39" t="s">
        <v>71</v>
      </c>
      <c r="B39">
        <v>571.78</v>
      </c>
      <c r="C39">
        <v>645</v>
      </c>
      <c r="D39" t="s">
        <v>14</v>
      </c>
      <c r="E39" t="s">
        <v>72</v>
      </c>
      <c r="F39">
        <f t="shared" si="0"/>
        <v>368798.1</v>
      </c>
    </row>
    <row r="40" spans="1:6" x14ac:dyDescent="0.35">
      <c r="A40" t="s">
        <v>73</v>
      </c>
      <c r="B40">
        <v>385.98</v>
      </c>
      <c r="C40">
        <v>627</v>
      </c>
      <c r="D40" t="s">
        <v>14</v>
      </c>
      <c r="E40" t="s">
        <v>7</v>
      </c>
      <c r="F40">
        <f t="shared" si="0"/>
        <v>242009.46000000002</v>
      </c>
    </row>
    <row r="41" spans="1:6" x14ac:dyDescent="0.35">
      <c r="A41" t="s">
        <v>74</v>
      </c>
      <c r="B41">
        <v>447.8</v>
      </c>
      <c r="C41">
        <v>778</v>
      </c>
      <c r="D41" t="s">
        <v>6</v>
      </c>
      <c r="E41" t="s">
        <v>72</v>
      </c>
      <c r="F41">
        <f t="shared" si="0"/>
        <v>348388.4</v>
      </c>
    </row>
    <row r="42" spans="1:6" x14ac:dyDescent="0.35">
      <c r="A42" t="s">
        <v>75</v>
      </c>
      <c r="B42">
        <v>307.69</v>
      </c>
      <c r="C42">
        <v>583</v>
      </c>
      <c r="D42" t="s">
        <v>14</v>
      </c>
      <c r="E42" t="s">
        <v>72</v>
      </c>
      <c r="F42">
        <f t="shared" si="0"/>
        <v>179383.27</v>
      </c>
    </row>
    <row r="43" spans="1:6" x14ac:dyDescent="0.35">
      <c r="A43" t="s">
        <v>76</v>
      </c>
      <c r="B43">
        <v>219.37</v>
      </c>
      <c r="C43">
        <v>793</v>
      </c>
      <c r="D43" t="s">
        <v>12</v>
      </c>
      <c r="E43" t="s">
        <v>77</v>
      </c>
      <c r="F43">
        <f t="shared" si="0"/>
        <v>173960.41</v>
      </c>
    </row>
    <row r="44" spans="1:6" x14ac:dyDescent="0.35">
      <c r="A44" t="s">
        <v>78</v>
      </c>
      <c r="B44">
        <v>200.02</v>
      </c>
      <c r="C44">
        <v>332</v>
      </c>
      <c r="D44" t="s">
        <v>17</v>
      </c>
      <c r="E44" t="s">
        <v>79</v>
      </c>
      <c r="F44">
        <f t="shared" si="0"/>
        <v>66406.64</v>
      </c>
    </row>
    <row r="45" spans="1:6" x14ac:dyDescent="0.35">
      <c r="A45" t="s">
        <v>80</v>
      </c>
      <c r="B45">
        <v>463.78</v>
      </c>
      <c r="C45">
        <v>818</v>
      </c>
      <c r="D45" t="s">
        <v>17</v>
      </c>
      <c r="E45" t="s">
        <v>81</v>
      </c>
      <c r="F45">
        <f t="shared" si="0"/>
        <v>379372.04</v>
      </c>
    </row>
    <row r="46" spans="1:6" x14ac:dyDescent="0.35">
      <c r="A46" t="s">
        <v>82</v>
      </c>
      <c r="B46">
        <v>867.34</v>
      </c>
      <c r="C46">
        <v>254</v>
      </c>
      <c r="D46" t="s">
        <v>17</v>
      </c>
      <c r="E46" t="s">
        <v>66</v>
      </c>
      <c r="F46">
        <f t="shared" si="0"/>
        <v>220304.36000000002</v>
      </c>
    </row>
    <row r="47" spans="1:6" x14ac:dyDescent="0.35">
      <c r="A47" t="s">
        <v>83</v>
      </c>
      <c r="B47">
        <v>326.44</v>
      </c>
      <c r="C47">
        <v>514</v>
      </c>
      <c r="D47" t="s">
        <v>9</v>
      </c>
      <c r="E47" t="s">
        <v>42</v>
      </c>
      <c r="F47">
        <f t="shared" si="0"/>
        <v>167790.16</v>
      </c>
    </row>
    <row r="48" spans="1:6" x14ac:dyDescent="0.35">
      <c r="A48" t="s">
        <v>84</v>
      </c>
      <c r="B48">
        <v>601.66999999999996</v>
      </c>
      <c r="C48">
        <v>463</v>
      </c>
      <c r="D48" t="s">
        <v>9</v>
      </c>
      <c r="E48" t="s">
        <v>85</v>
      </c>
      <c r="F48">
        <f t="shared" si="0"/>
        <v>278573.20999999996</v>
      </c>
    </row>
    <row r="49" spans="1:6" x14ac:dyDescent="0.35">
      <c r="A49" t="s">
        <v>86</v>
      </c>
      <c r="B49">
        <v>356.89</v>
      </c>
      <c r="C49">
        <v>96</v>
      </c>
      <c r="D49" t="s">
        <v>17</v>
      </c>
      <c r="E49" t="s">
        <v>46</v>
      </c>
      <c r="F49">
        <f t="shared" si="0"/>
        <v>34261.440000000002</v>
      </c>
    </row>
    <row r="50" spans="1:6" x14ac:dyDescent="0.35">
      <c r="A50" t="s">
        <v>87</v>
      </c>
      <c r="B50">
        <v>868.12</v>
      </c>
      <c r="C50">
        <v>60</v>
      </c>
      <c r="D50" t="s">
        <v>14</v>
      </c>
      <c r="E50" t="s">
        <v>88</v>
      </c>
      <c r="F50">
        <f t="shared" si="0"/>
        <v>52087.199999999997</v>
      </c>
    </row>
    <row r="51" spans="1:6" x14ac:dyDescent="0.35">
      <c r="A51" t="s">
        <v>89</v>
      </c>
      <c r="B51">
        <v>817.4</v>
      </c>
      <c r="C51">
        <v>439</v>
      </c>
      <c r="D51" t="s">
        <v>14</v>
      </c>
      <c r="E51" t="s">
        <v>79</v>
      </c>
      <c r="F51">
        <f t="shared" si="0"/>
        <v>358838.6</v>
      </c>
    </row>
    <row r="52" spans="1:6" x14ac:dyDescent="0.35">
      <c r="A52" t="s">
        <v>90</v>
      </c>
      <c r="B52">
        <v>400.81</v>
      </c>
      <c r="C52">
        <v>542</v>
      </c>
      <c r="D52" t="s">
        <v>9</v>
      </c>
      <c r="E52" t="s">
        <v>72</v>
      </c>
      <c r="F52">
        <f t="shared" si="0"/>
        <v>217239.02</v>
      </c>
    </row>
    <row r="53" spans="1:6" x14ac:dyDescent="0.35">
      <c r="A53" t="s">
        <v>91</v>
      </c>
      <c r="B53">
        <v>283.94</v>
      </c>
      <c r="C53">
        <v>152</v>
      </c>
      <c r="D53" t="s">
        <v>6</v>
      </c>
      <c r="E53" t="s">
        <v>44</v>
      </c>
      <c r="F53">
        <f t="shared" si="0"/>
        <v>43158.879999999997</v>
      </c>
    </row>
    <row r="54" spans="1:6" x14ac:dyDescent="0.35">
      <c r="A54" t="s">
        <v>92</v>
      </c>
      <c r="B54">
        <v>770.43</v>
      </c>
      <c r="C54">
        <v>927</v>
      </c>
      <c r="D54" t="s">
        <v>17</v>
      </c>
      <c r="E54" t="s">
        <v>93</v>
      </c>
      <c r="F54">
        <f t="shared" si="0"/>
        <v>714188.61</v>
      </c>
    </row>
    <row r="55" spans="1:6" x14ac:dyDescent="0.35">
      <c r="A55" t="s">
        <v>94</v>
      </c>
      <c r="B55">
        <v>970.98</v>
      </c>
      <c r="C55">
        <v>917</v>
      </c>
      <c r="D55" t="s">
        <v>17</v>
      </c>
      <c r="E55" t="s">
        <v>57</v>
      </c>
      <c r="F55">
        <f t="shared" si="0"/>
        <v>890388.66</v>
      </c>
    </row>
    <row r="56" spans="1:6" x14ac:dyDescent="0.35">
      <c r="A56" t="s">
        <v>95</v>
      </c>
      <c r="B56">
        <v>876.5</v>
      </c>
      <c r="C56">
        <v>545</v>
      </c>
      <c r="D56" t="s">
        <v>14</v>
      </c>
      <c r="E56" t="s">
        <v>96</v>
      </c>
      <c r="F56">
        <f t="shared" si="0"/>
        <v>477692.5</v>
      </c>
    </row>
    <row r="57" spans="1:6" x14ac:dyDescent="0.35">
      <c r="A57" t="s">
        <v>97</v>
      </c>
      <c r="B57">
        <v>877.78</v>
      </c>
      <c r="C57">
        <v>802</v>
      </c>
      <c r="D57" t="s">
        <v>9</v>
      </c>
      <c r="E57" t="s">
        <v>53</v>
      </c>
      <c r="F57">
        <f t="shared" si="0"/>
        <v>703979.55999999994</v>
      </c>
    </row>
    <row r="58" spans="1:6" x14ac:dyDescent="0.35">
      <c r="A58" t="s">
        <v>98</v>
      </c>
      <c r="B58">
        <v>885.22</v>
      </c>
      <c r="C58">
        <v>833</v>
      </c>
      <c r="D58" t="s">
        <v>12</v>
      </c>
      <c r="E58" t="s">
        <v>18</v>
      </c>
      <c r="F58">
        <f t="shared" si="0"/>
        <v>737388.26</v>
      </c>
    </row>
    <row r="59" spans="1:6" x14ac:dyDescent="0.35">
      <c r="A59" t="s">
        <v>99</v>
      </c>
      <c r="B59">
        <v>23.43</v>
      </c>
      <c r="C59">
        <v>943</v>
      </c>
      <c r="D59" t="s">
        <v>12</v>
      </c>
      <c r="E59" t="s">
        <v>33</v>
      </c>
      <c r="F59">
        <f t="shared" si="0"/>
        <v>22094.489999999998</v>
      </c>
    </row>
    <row r="60" spans="1:6" x14ac:dyDescent="0.35">
      <c r="A60" t="s">
        <v>100</v>
      </c>
      <c r="B60">
        <v>801.07</v>
      </c>
      <c r="C60">
        <v>53</v>
      </c>
      <c r="D60" t="s">
        <v>9</v>
      </c>
      <c r="E60" t="s">
        <v>72</v>
      </c>
      <c r="F60">
        <f t="shared" si="0"/>
        <v>42456.71</v>
      </c>
    </row>
    <row r="61" spans="1:6" x14ac:dyDescent="0.35">
      <c r="A61" t="s">
        <v>101</v>
      </c>
      <c r="B61">
        <v>51.1</v>
      </c>
      <c r="C61">
        <v>358</v>
      </c>
      <c r="D61" t="s">
        <v>17</v>
      </c>
      <c r="E61" t="s">
        <v>15</v>
      </c>
      <c r="F61">
        <f t="shared" si="0"/>
        <v>18293.8</v>
      </c>
    </row>
    <row r="62" spans="1:6" x14ac:dyDescent="0.35">
      <c r="A62" t="s">
        <v>102</v>
      </c>
      <c r="B62">
        <v>475.72</v>
      </c>
      <c r="C62">
        <v>15</v>
      </c>
      <c r="D62" t="s">
        <v>12</v>
      </c>
      <c r="E62" t="s">
        <v>81</v>
      </c>
      <c r="F62">
        <f t="shared" si="0"/>
        <v>7135.8</v>
      </c>
    </row>
    <row r="63" spans="1:6" x14ac:dyDescent="0.35">
      <c r="A63" t="s">
        <v>103</v>
      </c>
      <c r="B63">
        <v>219.19</v>
      </c>
      <c r="C63">
        <v>561</v>
      </c>
      <c r="D63" t="s">
        <v>12</v>
      </c>
      <c r="E63" t="s">
        <v>104</v>
      </c>
      <c r="F63">
        <f t="shared" si="0"/>
        <v>122965.59</v>
      </c>
    </row>
    <row r="64" spans="1:6" x14ac:dyDescent="0.35">
      <c r="A64" t="s">
        <v>105</v>
      </c>
      <c r="B64">
        <v>55.62</v>
      </c>
      <c r="C64">
        <v>257</v>
      </c>
      <c r="D64" t="s">
        <v>6</v>
      </c>
      <c r="E64" t="s">
        <v>20</v>
      </c>
      <c r="F64">
        <f t="shared" si="0"/>
        <v>14294.34</v>
      </c>
    </row>
    <row r="65" spans="1:6" x14ac:dyDescent="0.35">
      <c r="A65" t="s">
        <v>106</v>
      </c>
      <c r="B65">
        <v>11.33</v>
      </c>
      <c r="C65">
        <v>731</v>
      </c>
      <c r="D65" t="s">
        <v>6</v>
      </c>
      <c r="E65" t="s">
        <v>7</v>
      </c>
      <c r="F65">
        <f t="shared" si="0"/>
        <v>8282.23</v>
      </c>
    </row>
    <row r="66" spans="1:6" x14ac:dyDescent="0.35">
      <c r="A66" t="s">
        <v>107</v>
      </c>
      <c r="B66">
        <v>783.07</v>
      </c>
      <c r="C66">
        <v>517</v>
      </c>
      <c r="D66" t="s">
        <v>12</v>
      </c>
      <c r="E66" t="s">
        <v>108</v>
      </c>
      <c r="F66">
        <f t="shared" si="0"/>
        <v>404847.19</v>
      </c>
    </row>
    <row r="67" spans="1:6" x14ac:dyDescent="0.35">
      <c r="A67" t="s">
        <v>109</v>
      </c>
      <c r="B67">
        <v>9.2899999999999991</v>
      </c>
      <c r="C67">
        <v>877</v>
      </c>
      <c r="D67" t="s">
        <v>6</v>
      </c>
      <c r="E67" t="s">
        <v>63</v>
      </c>
      <c r="F67">
        <f t="shared" ref="F67:F130" si="1">B67*C67</f>
        <v>8147.329999999999</v>
      </c>
    </row>
    <row r="68" spans="1:6" x14ac:dyDescent="0.35">
      <c r="A68" t="s">
        <v>110</v>
      </c>
      <c r="B68">
        <v>103.45</v>
      </c>
      <c r="C68">
        <v>616</v>
      </c>
      <c r="D68" t="s">
        <v>17</v>
      </c>
      <c r="E68" t="s">
        <v>96</v>
      </c>
      <c r="F68">
        <f t="shared" si="1"/>
        <v>63725.200000000004</v>
      </c>
    </row>
    <row r="69" spans="1:6" x14ac:dyDescent="0.35">
      <c r="A69" t="s">
        <v>111</v>
      </c>
      <c r="B69">
        <v>866.69</v>
      </c>
      <c r="C69">
        <v>709</v>
      </c>
      <c r="D69" t="s">
        <v>6</v>
      </c>
      <c r="E69" t="s">
        <v>112</v>
      </c>
      <c r="F69">
        <f t="shared" si="1"/>
        <v>614483.21000000008</v>
      </c>
    </row>
    <row r="70" spans="1:6" x14ac:dyDescent="0.35">
      <c r="A70" t="s">
        <v>113</v>
      </c>
      <c r="B70">
        <v>66.959999999999994</v>
      </c>
      <c r="C70">
        <v>864</v>
      </c>
      <c r="D70" t="s">
        <v>17</v>
      </c>
      <c r="E70" t="s">
        <v>35</v>
      </c>
      <c r="F70">
        <f t="shared" si="1"/>
        <v>57853.439999999995</v>
      </c>
    </row>
    <row r="71" spans="1:6" x14ac:dyDescent="0.35">
      <c r="A71" t="s">
        <v>114</v>
      </c>
      <c r="B71">
        <v>790.97</v>
      </c>
      <c r="C71">
        <v>396</v>
      </c>
      <c r="D71" t="s">
        <v>6</v>
      </c>
      <c r="E71" t="s">
        <v>115</v>
      </c>
      <c r="F71">
        <f t="shared" si="1"/>
        <v>313224.12</v>
      </c>
    </row>
    <row r="72" spans="1:6" x14ac:dyDescent="0.35">
      <c r="A72" t="s">
        <v>116</v>
      </c>
      <c r="B72">
        <v>416.12</v>
      </c>
      <c r="C72">
        <v>690</v>
      </c>
      <c r="D72" t="s">
        <v>12</v>
      </c>
      <c r="E72" t="s">
        <v>10</v>
      </c>
      <c r="F72">
        <f t="shared" si="1"/>
        <v>287122.8</v>
      </c>
    </row>
    <row r="73" spans="1:6" x14ac:dyDescent="0.35">
      <c r="A73" t="s">
        <v>117</v>
      </c>
      <c r="B73">
        <v>610.44000000000005</v>
      </c>
      <c r="C73">
        <v>325</v>
      </c>
      <c r="D73" t="s">
        <v>12</v>
      </c>
      <c r="E73" t="s">
        <v>118</v>
      </c>
      <c r="F73">
        <f t="shared" si="1"/>
        <v>198393.00000000003</v>
      </c>
    </row>
    <row r="74" spans="1:6" x14ac:dyDescent="0.35">
      <c r="A74" t="s">
        <v>119</v>
      </c>
      <c r="B74">
        <v>908.54</v>
      </c>
      <c r="C74">
        <v>164</v>
      </c>
      <c r="D74" t="s">
        <v>12</v>
      </c>
      <c r="E74" t="s">
        <v>7</v>
      </c>
      <c r="F74">
        <f t="shared" si="1"/>
        <v>149000.56</v>
      </c>
    </row>
    <row r="75" spans="1:6" x14ac:dyDescent="0.35">
      <c r="A75" t="s">
        <v>120</v>
      </c>
      <c r="B75">
        <v>889.55</v>
      </c>
      <c r="C75">
        <v>99</v>
      </c>
      <c r="D75" t="s">
        <v>9</v>
      </c>
      <c r="E75" t="s">
        <v>69</v>
      </c>
      <c r="F75">
        <f t="shared" si="1"/>
        <v>88065.45</v>
      </c>
    </row>
    <row r="76" spans="1:6" x14ac:dyDescent="0.35">
      <c r="A76" t="s">
        <v>121</v>
      </c>
      <c r="B76">
        <v>847.85</v>
      </c>
      <c r="C76">
        <v>351</v>
      </c>
      <c r="D76" t="s">
        <v>14</v>
      </c>
      <c r="E76" t="s">
        <v>122</v>
      </c>
      <c r="F76">
        <f t="shared" si="1"/>
        <v>297595.35000000003</v>
      </c>
    </row>
    <row r="77" spans="1:6" x14ac:dyDescent="0.35">
      <c r="A77" t="s">
        <v>123</v>
      </c>
      <c r="B77">
        <v>844.79</v>
      </c>
      <c r="C77">
        <v>907</v>
      </c>
      <c r="D77" t="s">
        <v>14</v>
      </c>
      <c r="E77" t="s">
        <v>112</v>
      </c>
      <c r="F77">
        <f t="shared" si="1"/>
        <v>766224.52999999991</v>
      </c>
    </row>
    <row r="78" spans="1:6" x14ac:dyDescent="0.35">
      <c r="A78" t="s">
        <v>124</v>
      </c>
      <c r="B78">
        <v>302</v>
      </c>
      <c r="C78">
        <v>858</v>
      </c>
      <c r="D78" t="s">
        <v>6</v>
      </c>
      <c r="E78" t="s">
        <v>29</v>
      </c>
      <c r="F78">
        <f t="shared" si="1"/>
        <v>259116</v>
      </c>
    </row>
    <row r="79" spans="1:6" x14ac:dyDescent="0.35">
      <c r="A79" t="s">
        <v>125</v>
      </c>
      <c r="B79">
        <v>390.06</v>
      </c>
      <c r="C79">
        <v>674</v>
      </c>
      <c r="D79" t="s">
        <v>14</v>
      </c>
      <c r="E79" t="s">
        <v>126</v>
      </c>
      <c r="F79">
        <f t="shared" si="1"/>
        <v>262900.44</v>
      </c>
    </row>
    <row r="80" spans="1:6" x14ac:dyDescent="0.35">
      <c r="A80" t="s">
        <v>127</v>
      </c>
      <c r="B80">
        <v>110.75</v>
      </c>
      <c r="C80">
        <v>574</v>
      </c>
      <c r="D80" t="s">
        <v>6</v>
      </c>
      <c r="E80" t="s">
        <v>33</v>
      </c>
      <c r="F80">
        <f t="shared" si="1"/>
        <v>63570.5</v>
      </c>
    </row>
    <row r="81" spans="1:6" x14ac:dyDescent="0.35">
      <c r="A81" t="s">
        <v>128</v>
      </c>
      <c r="B81">
        <v>453.21</v>
      </c>
      <c r="C81">
        <v>148</v>
      </c>
      <c r="D81" t="s">
        <v>9</v>
      </c>
      <c r="E81" t="s">
        <v>20</v>
      </c>
      <c r="F81">
        <f t="shared" si="1"/>
        <v>67075.08</v>
      </c>
    </row>
    <row r="82" spans="1:6" x14ac:dyDescent="0.35">
      <c r="A82" t="s">
        <v>129</v>
      </c>
      <c r="B82">
        <v>802.62</v>
      </c>
      <c r="C82">
        <v>257</v>
      </c>
      <c r="D82" t="s">
        <v>9</v>
      </c>
      <c r="E82" t="s">
        <v>130</v>
      </c>
      <c r="F82">
        <f t="shared" si="1"/>
        <v>206273.34</v>
      </c>
    </row>
    <row r="83" spans="1:6" x14ac:dyDescent="0.35">
      <c r="A83" t="s">
        <v>131</v>
      </c>
      <c r="B83">
        <v>960.12</v>
      </c>
      <c r="C83">
        <v>975</v>
      </c>
      <c r="D83" t="s">
        <v>12</v>
      </c>
      <c r="E83" t="s">
        <v>40</v>
      </c>
      <c r="F83">
        <f t="shared" si="1"/>
        <v>936117</v>
      </c>
    </row>
    <row r="84" spans="1:6" x14ac:dyDescent="0.35">
      <c r="A84" t="s">
        <v>132</v>
      </c>
      <c r="B84">
        <v>278.64999999999998</v>
      </c>
      <c r="C84">
        <v>855</v>
      </c>
      <c r="D84" t="s">
        <v>17</v>
      </c>
      <c r="E84" t="s">
        <v>133</v>
      </c>
      <c r="F84">
        <f t="shared" si="1"/>
        <v>238245.74999999997</v>
      </c>
    </row>
    <row r="85" spans="1:6" x14ac:dyDescent="0.35">
      <c r="A85" t="s">
        <v>134</v>
      </c>
      <c r="B85">
        <v>244.31</v>
      </c>
      <c r="C85">
        <v>451</v>
      </c>
      <c r="D85" t="s">
        <v>12</v>
      </c>
      <c r="E85" t="s">
        <v>130</v>
      </c>
      <c r="F85">
        <f t="shared" si="1"/>
        <v>110183.81</v>
      </c>
    </row>
    <row r="86" spans="1:6" x14ac:dyDescent="0.35">
      <c r="A86" t="s">
        <v>135</v>
      </c>
      <c r="B86">
        <v>121.66</v>
      </c>
      <c r="C86">
        <v>254</v>
      </c>
      <c r="D86" t="s">
        <v>9</v>
      </c>
      <c r="E86" t="s">
        <v>42</v>
      </c>
      <c r="F86">
        <f t="shared" si="1"/>
        <v>30901.64</v>
      </c>
    </row>
    <row r="87" spans="1:6" x14ac:dyDescent="0.35">
      <c r="A87" t="s">
        <v>136</v>
      </c>
      <c r="B87">
        <v>180.72</v>
      </c>
      <c r="C87">
        <v>417</v>
      </c>
      <c r="D87" t="s">
        <v>9</v>
      </c>
      <c r="E87" t="s">
        <v>137</v>
      </c>
      <c r="F87">
        <f t="shared" si="1"/>
        <v>75360.240000000005</v>
      </c>
    </row>
    <row r="88" spans="1:6" x14ac:dyDescent="0.35">
      <c r="A88" t="s">
        <v>138</v>
      </c>
      <c r="B88">
        <v>781.01</v>
      </c>
      <c r="C88">
        <v>760</v>
      </c>
      <c r="D88" t="s">
        <v>9</v>
      </c>
      <c r="E88" t="s">
        <v>7</v>
      </c>
      <c r="F88">
        <f t="shared" si="1"/>
        <v>593567.6</v>
      </c>
    </row>
    <row r="89" spans="1:6" x14ac:dyDescent="0.35">
      <c r="A89" t="s">
        <v>139</v>
      </c>
      <c r="B89">
        <v>651.66</v>
      </c>
      <c r="C89">
        <v>337</v>
      </c>
      <c r="D89" t="s">
        <v>9</v>
      </c>
      <c r="E89" t="s">
        <v>79</v>
      </c>
      <c r="F89">
        <f t="shared" si="1"/>
        <v>219609.41999999998</v>
      </c>
    </row>
    <row r="90" spans="1:6" x14ac:dyDescent="0.35">
      <c r="A90" t="s">
        <v>140</v>
      </c>
      <c r="B90">
        <v>444.92</v>
      </c>
      <c r="C90">
        <v>913</v>
      </c>
      <c r="D90" t="s">
        <v>14</v>
      </c>
      <c r="E90" t="s">
        <v>33</v>
      </c>
      <c r="F90">
        <f t="shared" si="1"/>
        <v>406211.96</v>
      </c>
    </row>
    <row r="91" spans="1:6" x14ac:dyDescent="0.35">
      <c r="A91" t="s">
        <v>141</v>
      </c>
      <c r="B91">
        <v>834.67</v>
      </c>
      <c r="C91">
        <v>71</v>
      </c>
      <c r="D91" t="s">
        <v>9</v>
      </c>
      <c r="E91" t="s">
        <v>20</v>
      </c>
      <c r="F91">
        <f t="shared" si="1"/>
        <v>59261.57</v>
      </c>
    </row>
    <row r="92" spans="1:6" x14ac:dyDescent="0.35">
      <c r="A92" t="s">
        <v>142</v>
      </c>
      <c r="B92">
        <v>816.33</v>
      </c>
      <c r="C92">
        <v>222</v>
      </c>
      <c r="D92" t="s">
        <v>12</v>
      </c>
      <c r="E92" t="s">
        <v>81</v>
      </c>
      <c r="F92">
        <f t="shared" si="1"/>
        <v>181225.26</v>
      </c>
    </row>
    <row r="93" spans="1:6" x14ac:dyDescent="0.35">
      <c r="A93" t="s">
        <v>143</v>
      </c>
      <c r="B93">
        <v>75.8</v>
      </c>
      <c r="C93">
        <v>519</v>
      </c>
      <c r="D93" t="s">
        <v>12</v>
      </c>
      <c r="E93" t="s">
        <v>27</v>
      </c>
      <c r="F93">
        <f t="shared" si="1"/>
        <v>39340.199999999997</v>
      </c>
    </row>
    <row r="94" spans="1:6" x14ac:dyDescent="0.35">
      <c r="A94" t="s">
        <v>144</v>
      </c>
      <c r="B94">
        <v>906.56</v>
      </c>
      <c r="C94">
        <v>877</v>
      </c>
      <c r="D94" t="s">
        <v>17</v>
      </c>
      <c r="E94" t="s">
        <v>72</v>
      </c>
      <c r="F94">
        <f t="shared" si="1"/>
        <v>795053.12</v>
      </c>
    </row>
    <row r="95" spans="1:6" x14ac:dyDescent="0.35">
      <c r="A95" t="s">
        <v>145</v>
      </c>
      <c r="B95">
        <v>633.76</v>
      </c>
      <c r="C95">
        <v>755</v>
      </c>
      <c r="D95" t="s">
        <v>12</v>
      </c>
      <c r="E95" t="s">
        <v>96</v>
      </c>
      <c r="F95">
        <f t="shared" si="1"/>
        <v>478488.8</v>
      </c>
    </row>
    <row r="96" spans="1:6" x14ac:dyDescent="0.35">
      <c r="A96" t="s">
        <v>146</v>
      </c>
      <c r="B96">
        <v>14.43</v>
      </c>
      <c r="C96">
        <v>620</v>
      </c>
      <c r="D96" t="s">
        <v>6</v>
      </c>
      <c r="E96" t="s">
        <v>33</v>
      </c>
      <c r="F96">
        <f t="shared" si="1"/>
        <v>8946.6</v>
      </c>
    </row>
    <row r="97" spans="1:6" x14ac:dyDescent="0.35">
      <c r="A97" t="s">
        <v>147</v>
      </c>
      <c r="B97">
        <v>921.71</v>
      </c>
      <c r="C97">
        <v>296</v>
      </c>
      <c r="D97" t="s">
        <v>6</v>
      </c>
      <c r="E97" t="s">
        <v>57</v>
      </c>
      <c r="F97">
        <f t="shared" si="1"/>
        <v>272826.16000000003</v>
      </c>
    </row>
    <row r="98" spans="1:6" x14ac:dyDescent="0.35">
      <c r="A98" t="s">
        <v>148</v>
      </c>
      <c r="B98">
        <v>472.46</v>
      </c>
      <c r="C98">
        <v>463</v>
      </c>
      <c r="D98" t="s">
        <v>14</v>
      </c>
      <c r="E98" t="s">
        <v>149</v>
      </c>
      <c r="F98">
        <f t="shared" si="1"/>
        <v>218748.97999999998</v>
      </c>
    </row>
    <row r="99" spans="1:6" x14ac:dyDescent="0.35">
      <c r="A99" t="s">
        <v>150</v>
      </c>
      <c r="B99">
        <v>893.23</v>
      </c>
      <c r="C99">
        <v>472</v>
      </c>
      <c r="D99" t="s">
        <v>14</v>
      </c>
      <c r="E99" t="s">
        <v>44</v>
      </c>
      <c r="F99">
        <f t="shared" si="1"/>
        <v>421604.56</v>
      </c>
    </row>
    <row r="100" spans="1:6" x14ac:dyDescent="0.35">
      <c r="A100" t="s">
        <v>151</v>
      </c>
      <c r="B100">
        <v>818.73</v>
      </c>
      <c r="C100">
        <v>821</v>
      </c>
      <c r="D100" t="s">
        <v>12</v>
      </c>
      <c r="E100" t="s">
        <v>152</v>
      </c>
      <c r="F100">
        <f t="shared" si="1"/>
        <v>672177.33</v>
      </c>
    </row>
    <row r="101" spans="1:6" x14ac:dyDescent="0.35">
      <c r="A101" t="s">
        <v>153</v>
      </c>
      <c r="B101">
        <v>932.35</v>
      </c>
      <c r="C101">
        <v>81</v>
      </c>
      <c r="D101" t="s">
        <v>12</v>
      </c>
      <c r="E101" t="s">
        <v>7</v>
      </c>
      <c r="F101">
        <f t="shared" si="1"/>
        <v>75520.350000000006</v>
      </c>
    </row>
    <row r="102" spans="1:6" x14ac:dyDescent="0.35">
      <c r="A102" t="s">
        <v>154</v>
      </c>
      <c r="B102">
        <v>874.14</v>
      </c>
      <c r="C102">
        <v>262</v>
      </c>
      <c r="D102" t="s">
        <v>9</v>
      </c>
      <c r="E102" t="s">
        <v>155</v>
      </c>
      <c r="F102">
        <f t="shared" si="1"/>
        <v>229024.68</v>
      </c>
    </row>
    <row r="103" spans="1:6" x14ac:dyDescent="0.35">
      <c r="A103" t="s">
        <v>156</v>
      </c>
      <c r="B103">
        <v>463.56</v>
      </c>
      <c r="C103">
        <v>101</v>
      </c>
      <c r="D103" t="s">
        <v>17</v>
      </c>
      <c r="E103" t="s">
        <v>25</v>
      </c>
      <c r="F103">
        <f t="shared" si="1"/>
        <v>46819.56</v>
      </c>
    </row>
    <row r="104" spans="1:6" x14ac:dyDescent="0.35">
      <c r="A104" t="s">
        <v>157</v>
      </c>
      <c r="B104">
        <v>548.41</v>
      </c>
      <c r="C104">
        <v>287</v>
      </c>
      <c r="D104" t="s">
        <v>17</v>
      </c>
      <c r="E104" t="s">
        <v>72</v>
      </c>
      <c r="F104">
        <f t="shared" si="1"/>
        <v>157393.66999999998</v>
      </c>
    </row>
    <row r="105" spans="1:6" x14ac:dyDescent="0.35">
      <c r="A105" t="s">
        <v>158</v>
      </c>
      <c r="B105">
        <v>915.75</v>
      </c>
      <c r="C105">
        <v>23</v>
      </c>
      <c r="D105" t="s">
        <v>14</v>
      </c>
      <c r="E105" t="s">
        <v>38</v>
      </c>
      <c r="F105">
        <f t="shared" si="1"/>
        <v>21062.25</v>
      </c>
    </row>
    <row r="106" spans="1:6" x14ac:dyDescent="0.35">
      <c r="A106" t="s">
        <v>8</v>
      </c>
      <c r="B106">
        <v>203.49</v>
      </c>
      <c r="C106">
        <v>910</v>
      </c>
      <c r="D106" t="s">
        <v>17</v>
      </c>
      <c r="E106" t="s">
        <v>10</v>
      </c>
      <c r="F106">
        <f t="shared" si="1"/>
        <v>185175.9</v>
      </c>
    </row>
    <row r="107" spans="1:6" x14ac:dyDescent="0.35">
      <c r="A107" t="s">
        <v>159</v>
      </c>
      <c r="B107">
        <v>681.11</v>
      </c>
      <c r="C107">
        <v>821</v>
      </c>
      <c r="D107" t="s">
        <v>14</v>
      </c>
      <c r="E107" t="s">
        <v>112</v>
      </c>
      <c r="F107">
        <f t="shared" si="1"/>
        <v>559191.31000000006</v>
      </c>
    </row>
    <row r="108" spans="1:6" x14ac:dyDescent="0.35">
      <c r="A108" t="s">
        <v>143</v>
      </c>
      <c r="B108">
        <v>867.94</v>
      </c>
      <c r="C108">
        <v>261</v>
      </c>
      <c r="D108" t="s">
        <v>14</v>
      </c>
      <c r="E108" t="s">
        <v>27</v>
      </c>
      <c r="F108">
        <f t="shared" si="1"/>
        <v>226532.34000000003</v>
      </c>
    </row>
    <row r="109" spans="1:6" x14ac:dyDescent="0.35">
      <c r="A109" t="s">
        <v>160</v>
      </c>
      <c r="B109">
        <v>94.19</v>
      </c>
      <c r="C109">
        <v>640</v>
      </c>
      <c r="D109" t="s">
        <v>14</v>
      </c>
      <c r="E109" t="s">
        <v>81</v>
      </c>
      <c r="F109">
        <f t="shared" si="1"/>
        <v>60281.599999999999</v>
      </c>
    </row>
    <row r="110" spans="1:6" x14ac:dyDescent="0.35">
      <c r="A110" t="s">
        <v>161</v>
      </c>
      <c r="B110">
        <v>476.62</v>
      </c>
      <c r="C110">
        <v>770</v>
      </c>
      <c r="D110" t="s">
        <v>14</v>
      </c>
      <c r="E110" t="s">
        <v>96</v>
      </c>
      <c r="F110">
        <f t="shared" si="1"/>
        <v>366997.4</v>
      </c>
    </row>
    <row r="111" spans="1:6" x14ac:dyDescent="0.35">
      <c r="A111" t="s">
        <v>162</v>
      </c>
      <c r="B111">
        <v>345.4</v>
      </c>
      <c r="C111">
        <v>43</v>
      </c>
      <c r="D111" t="s">
        <v>17</v>
      </c>
      <c r="E111" t="s">
        <v>163</v>
      </c>
      <c r="F111">
        <f t="shared" si="1"/>
        <v>14852.199999999999</v>
      </c>
    </row>
    <row r="112" spans="1:6" x14ac:dyDescent="0.35">
      <c r="A112" t="s">
        <v>164</v>
      </c>
      <c r="B112">
        <v>162.26</v>
      </c>
      <c r="C112">
        <v>861</v>
      </c>
      <c r="D112" t="s">
        <v>9</v>
      </c>
      <c r="E112" t="s">
        <v>72</v>
      </c>
      <c r="F112">
        <f t="shared" si="1"/>
        <v>139705.85999999999</v>
      </c>
    </row>
    <row r="113" spans="1:6" x14ac:dyDescent="0.35">
      <c r="A113" t="s">
        <v>165</v>
      </c>
      <c r="B113">
        <v>371.64</v>
      </c>
      <c r="C113">
        <v>389</v>
      </c>
      <c r="D113" t="s">
        <v>9</v>
      </c>
      <c r="E113" t="s">
        <v>48</v>
      </c>
      <c r="F113">
        <f t="shared" si="1"/>
        <v>144567.96</v>
      </c>
    </row>
    <row r="114" spans="1:6" x14ac:dyDescent="0.35">
      <c r="A114" t="s">
        <v>166</v>
      </c>
      <c r="B114">
        <v>618.85</v>
      </c>
      <c r="C114">
        <v>457</v>
      </c>
      <c r="D114" t="s">
        <v>6</v>
      </c>
      <c r="E114" t="s">
        <v>29</v>
      </c>
      <c r="F114">
        <f t="shared" si="1"/>
        <v>282814.45</v>
      </c>
    </row>
    <row r="115" spans="1:6" x14ac:dyDescent="0.35">
      <c r="A115" t="s">
        <v>167</v>
      </c>
      <c r="B115">
        <v>982.67</v>
      </c>
      <c r="C115">
        <v>309</v>
      </c>
      <c r="D115" t="s">
        <v>9</v>
      </c>
      <c r="E115" t="s">
        <v>168</v>
      </c>
      <c r="F115">
        <f t="shared" si="1"/>
        <v>303645.02999999997</v>
      </c>
    </row>
    <row r="116" spans="1:6" x14ac:dyDescent="0.35">
      <c r="A116" t="s">
        <v>169</v>
      </c>
      <c r="B116">
        <v>701.79</v>
      </c>
      <c r="C116">
        <v>781</v>
      </c>
      <c r="D116" t="s">
        <v>9</v>
      </c>
      <c r="E116" t="s">
        <v>81</v>
      </c>
      <c r="F116">
        <f t="shared" si="1"/>
        <v>548097.99</v>
      </c>
    </row>
    <row r="117" spans="1:6" x14ac:dyDescent="0.35">
      <c r="A117" t="s">
        <v>170</v>
      </c>
      <c r="B117">
        <v>925.47</v>
      </c>
      <c r="C117">
        <v>691</v>
      </c>
      <c r="D117" t="s">
        <v>17</v>
      </c>
      <c r="E117" t="s">
        <v>171</v>
      </c>
      <c r="F117">
        <f t="shared" si="1"/>
        <v>639499.77</v>
      </c>
    </row>
    <row r="118" spans="1:6" x14ac:dyDescent="0.35">
      <c r="A118" t="s">
        <v>16</v>
      </c>
      <c r="B118">
        <v>165.82</v>
      </c>
      <c r="C118">
        <v>241</v>
      </c>
      <c r="D118" t="s">
        <v>9</v>
      </c>
      <c r="E118" t="s">
        <v>18</v>
      </c>
      <c r="F118">
        <f t="shared" si="1"/>
        <v>39962.619999999995</v>
      </c>
    </row>
    <row r="119" spans="1:6" x14ac:dyDescent="0.35">
      <c r="A119" t="s">
        <v>172</v>
      </c>
      <c r="B119">
        <v>354.07</v>
      </c>
      <c r="C119">
        <v>386</v>
      </c>
      <c r="D119" t="s">
        <v>12</v>
      </c>
      <c r="E119" t="s">
        <v>7</v>
      </c>
      <c r="F119">
        <f t="shared" si="1"/>
        <v>136671.01999999999</v>
      </c>
    </row>
    <row r="120" spans="1:6" x14ac:dyDescent="0.35">
      <c r="A120" t="s">
        <v>173</v>
      </c>
      <c r="B120">
        <v>646.54</v>
      </c>
      <c r="C120">
        <v>98</v>
      </c>
      <c r="D120" t="s">
        <v>17</v>
      </c>
      <c r="E120" t="s">
        <v>33</v>
      </c>
      <c r="F120">
        <f t="shared" si="1"/>
        <v>63360.92</v>
      </c>
    </row>
    <row r="121" spans="1:6" x14ac:dyDescent="0.35">
      <c r="A121" t="s">
        <v>174</v>
      </c>
      <c r="B121">
        <v>761.08</v>
      </c>
      <c r="C121">
        <v>922</v>
      </c>
      <c r="D121" t="s">
        <v>17</v>
      </c>
      <c r="E121" t="s">
        <v>175</v>
      </c>
      <c r="F121">
        <f t="shared" si="1"/>
        <v>701715.76</v>
      </c>
    </row>
    <row r="122" spans="1:6" x14ac:dyDescent="0.35">
      <c r="A122" t="s">
        <v>176</v>
      </c>
      <c r="B122">
        <v>19.84</v>
      </c>
      <c r="C122">
        <v>39</v>
      </c>
      <c r="D122" t="s">
        <v>14</v>
      </c>
      <c r="E122" t="s">
        <v>38</v>
      </c>
      <c r="F122">
        <f t="shared" si="1"/>
        <v>773.76</v>
      </c>
    </row>
    <row r="123" spans="1:6" x14ac:dyDescent="0.35">
      <c r="A123" t="s">
        <v>177</v>
      </c>
      <c r="B123">
        <v>507.36</v>
      </c>
      <c r="C123">
        <v>872</v>
      </c>
      <c r="D123" t="s">
        <v>12</v>
      </c>
      <c r="E123" t="s">
        <v>122</v>
      </c>
      <c r="F123">
        <f t="shared" si="1"/>
        <v>442417.91999999998</v>
      </c>
    </row>
    <row r="124" spans="1:6" x14ac:dyDescent="0.35">
      <c r="A124" t="s">
        <v>178</v>
      </c>
      <c r="B124">
        <v>96.12</v>
      </c>
      <c r="C124">
        <v>25</v>
      </c>
      <c r="D124" t="s">
        <v>6</v>
      </c>
      <c r="E124" t="s">
        <v>7</v>
      </c>
      <c r="F124">
        <f t="shared" si="1"/>
        <v>2403</v>
      </c>
    </row>
    <row r="125" spans="1:6" x14ac:dyDescent="0.35">
      <c r="A125" t="s">
        <v>179</v>
      </c>
      <c r="B125">
        <v>560.33000000000004</v>
      </c>
      <c r="C125">
        <v>885</v>
      </c>
      <c r="D125" t="s">
        <v>6</v>
      </c>
      <c r="E125" t="s">
        <v>7</v>
      </c>
      <c r="F125">
        <f t="shared" si="1"/>
        <v>495892.05000000005</v>
      </c>
    </row>
    <row r="126" spans="1:6" x14ac:dyDescent="0.35">
      <c r="A126" t="s">
        <v>180</v>
      </c>
      <c r="B126">
        <v>46.37</v>
      </c>
      <c r="C126">
        <v>953</v>
      </c>
      <c r="D126" t="s">
        <v>9</v>
      </c>
      <c r="E126" t="s">
        <v>181</v>
      </c>
      <c r="F126">
        <f t="shared" si="1"/>
        <v>44190.61</v>
      </c>
    </row>
    <row r="127" spans="1:6" x14ac:dyDescent="0.35">
      <c r="A127" t="s">
        <v>182</v>
      </c>
      <c r="B127">
        <v>548.07000000000005</v>
      </c>
      <c r="C127">
        <v>714</v>
      </c>
      <c r="D127" t="s">
        <v>14</v>
      </c>
      <c r="E127" t="s">
        <v>63</v>
      </c>
      <c r="F127">
        <f t="shared" si="1"/>
        <v>391321.98000000004</v>
      </c>
    </row>
    <row r="128" spans="1:6" x14ac:dyDescent="0.35">
      <c r="A128" t="s">
        <v>183</v>
      </c>
      <c r="B128">
        <v>804.1</v>
      </c>
      <c r="C128">
        <v>794</v>
      </c>
      <c r="D128" t="s">
        <v>14</v>
      </c>
      <c r="E128" t="s">
        <v>57</v>
      </c>
      <c r="F128">
        <f t="shared" si="1"/>
        <v>638455.4</v>
      </c>
    </row>
    <row r="129" spans="1:6" x14ac:dyDescent="0.35">
      <c r="A129" t="s">
        <v>184</v>
      </c>
      <c r="B129">
        <v>102.64</v>
      </c>
      <c r="C129">
        <v>351</v>
      </c>
      <c r="D129" t="s">
        <v>14</v>
      </c>
      <c r="E129" t="s">
        <v>118</v>
      </c>
      <c r="F129">
        <f t="shared" si="1"/>
        <v>36026.639999999999</v>
      </c>
    </row>
    <row r="130" spans="1:6" x14ac:dyDescent="0.35">
      <c r="A130" t="s">
        <v>185</v>
      </c>
      <c r="B130">
        <v>372.1</v>
      </c>
      <c r="C130">
        <v>516</v>
      </c>
      <c r="D130" t="s">
        <v>12</v>
      </c>
      <c r="E130" t="s">
        <v>133</v>
      </c>
      <c r="F130">
        <f t="shared" si="1"/>
        <v>192003.6</v>
      </c>
    </row>
    <row r="131" spans="1:6" x14ac:dyDescent="0.35">
      <c r="A131" t="s">
        <v>186</v>
      </c>
      <c r="B131">
        <v>193.66</v>
      </c>
      <c r="C131">
        <v>705</v>
      </c>
      <c r="D131" t="s">
        <v>6</v>
      </c>
      <c r="E131" t="s">
        <v>66</v>
      </c>
      <c r="F131">
        <f t="shared" ref="F131:F194" si="2">B131*C131</f>
        <v>136530.29999999999</v>
      </c>
    </row>
    <row r="132" spans="1:6" x14ac:dyDescent="0.35">
      <c r="A132" t="s">
        <v>187</v>
      </c>
      <c r="B132">
        <v>511.61</v>
      </c>
      <c r="C132">
        <v>528</v>
      </c>
      <c r="D132" t="s">
        <v>12</v>
      </c>
      <c r="E132" t="s">
        <v>18</v>
      </c>
      <c r="F132">
        <f t="shared" si="2"/>
        <v>270130.08</v>
      </c>
    </row>
    <row r="133" spans="1:6" x14ac:dyDescent="0.35">
      <c r="A133" t="s">
        <v>188</v>
      </c>
      <c r="B133">
        <v>714.74</v>
      </c>
      <c r="C133">
        <v>596</v>
      </c>
      <c r="D133" t="s">
        <v>14</v>
      </c>
      <c r="E133" t="s">
        <v>189</v>
      </c>
      <c r="F133">
        <f t="shared" si="2"/>
        <v>425985.04</v>
      </c>
    </row>
    <row r="134" spans="1:6" x14ac:dyDescent="0.35">
      <c r="A134" t="s">
        <v>190</v>
      </c>
      <c r="B134">
        <v>556.30999999999995</v>
      </c>
      <c r="C134">
        <v>836</v>
      </c>
      <c r="D134" t="s">
        <v>14</v>
      </c>
      <c r="E134" t="s">
        <v>191</v>
      </c>
      <c r="F134">
        <f t="shared" si="2"/>
        <v>465075.16</v>
      </c>
    </row>
    <row r="135" spans="1:6" x14ac:dyDescent="0.35">
      <c r="A135" t="s">
        <v>192</v>
      </c>
      <c r="B135">
        <v>624.33000000000004</v>
      </c>
      <c r="C135">
        <v>820</v>
      </c>
      <c r="D135" t="s">
        <v>12</v>
      </c>
      <c r="E135" t="s">
        <v>193</v>
      </c>
      <c r="F135">
        <f t="shared" si="2"/>
        <v>511950.60000000003</v>
      </c>
    </row>
    <row r="136" spans="1:6" x14ac:dyDescent="0.35">
      <c r="A136" t="s">
        <v>194</v>
      </c>
      <c r="B136">
        <v>868.8</v>
      </c>
      <c r="C136">
        <v>77</v>
      </c>
      <c r="D136" t="s">
        <v>12</v>
      </c>
      <c r="E136" t="s">
        <v>10</v>
      </c>
      <c r="F136">
        <f t="shared" si="2"/>
        <v>66897.599999999991</v>
      </c>
    </row>
    <row r="137" spans="1:6" x14ac:dyDescent="0.35">
      <c r="A137" t="s">
        <v>195</v>
      </c>
      <c r="B137">
        <v>44.23</v>
      </c>
      <c r="C137">
        <v>492</v>
      </c>
      <c r="D137" t="s">
        <v>14</v>
      </c>
      <c r="E137" t="s">
        <v>96</v>
      </c>
      <c r="F137">
        <f t="shared" si="2"/>
        <v>21761.16</v>
      </c>
    </row>
    <row r="138" spans="1:6" x14ac:dyDescent="0.35">
      <c r="A138" t="s">
        <v>196</v>
      </c>
      <c r="B138">
        <v>394.33</v>
      </c>
      <c r="C138">
        <v>787</v>
      </c>
      <c r="D138" t="s">
        <v>17</v>
      </c>
      <c r="E138" t="s">
        <v>72</v>
      </c>
      <c r="F138">
        <f t="shared" si="2"/>
        <v>310337.70999999996</v>
      </c>
    </row>
    <row r="139" spans="1:6" x14ac:dyDescent="0.35">
      <c r="A139" t="s">
        <v>197</v>
      </c>
      <c r="B139">
        <v>240.31</v>
      </c>
      <c r="C139">
        <v>177</v>
      </c>
      <c r="D139" t="s">
        <v>12</v>
      </c>
      <c r="E139" t="s">
        <v>88</v>
      </c>
      <c r="F139">
        <f t="shared" si="2"/>
        <v>42534.87</v>
      </c>
    </row>
    <row r="140" spans="1:6" x14ac:dyDescent="0.35">
      <c r="A140" t="s">
        <v>198</v>
      </c>
      <c r="B140">
        <v>187.27</v>
      </c>
      <c r="C140">
        <v>45</v>
      </c>
      <c r="D140" t="s">
        <v>17</v>
      </c>
      <c r="E140" t="s">
        <v>72</v>
      </c>
      <c r="F140">
        <f t="shared" si="2"/>
        <v>8427.15</v>
      </c>
    </row>
    <row r="141" spans="1:6" x14ac:dyDescent="0.35">
      <c r="A141" t="s">
        <v>199</v>
      </c>
      <c r="B141">
        <v>211.25</v>
      </c>
      <c r="C141">
        <v>382</v>
      </c>
      <c r="D141" t="s">
        <v>12</v>
      </c>
      <c r="E141" t="s">
        <v>72</v>
      </c>
      <c r="F141">
        <f t="shared" si="2"/>
        <v>80697.5</v>
      </c>
    </row>
    <row r="142" spans="1:6" x14ac:dyDescent="0.35">
      <c r="A142" t="s">
        <v>200</v>
      </c>
      <c r="B142">
        <v>976.6</v>
      </c>
      <c r="C142">
        <v>240</v>
      </c>
      <c r="D142" t="s">
        <v>17</v>
      </c>
      <c r="E142" t="s">
        <v>7</v>
      </c>
      <c r="F142">
        <f t="shared" si="2"/>
        <v>234384</v>
      </c>
    </row>
    <row r="143" spans="1:6" x14ac:dyDescent="0.35">
      <c r="A143" t="s">
        <v>201</v>
      </c>
      <c r="B143">
        <v>949.69</v>
      </c>
      <c r="C143">
        <v>482</v>
      </c>
      <c r="D143" t="s">
        <v>9</v>
      </c>
      <c r="E143" t="s">
        <v>191</v>
      </c>
      <c r="F143">
        <f t="shared" si="2"/>
        <v>457750.58</v>
      </c>
    </row>
    <row r="144" spans="1:6" x14ac:dyDescent="0.35">
      <c r="A144" t="s">
        <v>202</v>
      </c>
      <c r="B144">
        <v>117.84</v>
      </c>
      <c r="C144">
        <v>728</v>
      </c>
      <c r="D144" t="s">
        <v>6</v>
      </c>
      <c r="E144" t="s">
        <v>72</v>
      </c>
      <c r="F144">
        <f t="shared" si="2"/>
        <v>85787.520000000004</v>
      </c>
    </row>
    <row r="145" spans="1:6" x14ac:dyDescent="0.35">
      <c r="A145" t="s">
        <v>203</v>
      </c>
      <c r="B145">
        <v>372.26</v>
      </c>
      <c r="C145">
        <v>43</v>
      </c>
      <c r="D145" t="s">
        <v>17</v>
      </c>
      <c r="E145" t="s">
        <v>44</v>
      </c>
      <c r="F145">
        <f t="shared" si="2"/>
        <v>16007.18</v>
      </c>
    </row>
    <row r="146" spans="1:6" x14ac:dyDescent="0.35">
      <c r="A146" t="s">
        <v>204</v>
      </c>
      <c r="B146">
        <v>548.94000000000005</v>
      </c>
      <c r="C146">
        <v>931</v>
      </c>
      <c r="D146" t="s">
        <v>14</v>
      </c>
      <c r="E146" t="s">
        <v>48</v>
      </c>
      <c r="F146">
        <f t="shared" si="2"/>
        <v>511063.14000000007</v>
      </c>
    </row>
    <row r="147" spans="1:6" x14ac:dyDescent="0.35">
      <c r="A147" t="s">
        <v>205</v>
      </c>
      <c r="B147">
        <v>774.47</v>
      </c>
      <c r="C147">
        <v>125</v>
      </c>
      <c r="D147" t="s">
        <v>9</v>
      </c>
      <c r="E147" t="s">
        <v>48</v>
      </c>
      <c r="F147">
        <f t="shared" si="2"/>
        <v>96808.75</v>
      </c>
    </row>
    <row r="148" spans="1:6" x14ac:dyDescent="0.35">
      <c r="A148" t="s">
        <v>206</v>
      </c>
      <c r="B148">
        <v>909.21</v>
      </c>
      <c r="C148">
        <v>16</v>
      </c>
      <c r="D148" t="s">
        <v>14</v>
      </c>
      <c r="E148" t="s">
        <v>44</v>
      </c>
      <c r="F148">
        <f t="shared" si="2"/>
        <v>14547.36</v>
      </c>
    </row>
    <row r="149" spans="1:6" x14ac:dyDescent="0.35">
      <c r="A149" t="s">
        <v>207</v>
      </c>
      <c r="B149">
        <v>497.51</v>
      </c>
      <c r="C149">
        <v>130</v>
      </c>
      <c r="D149" t="s">
        <v>6</v>
      </c>
      <c r="E149" t="s">
        <v>7</v>
      </c>
      <c r="F149">
        <f t="shared" si="2"/>
        <v>64676.299999999996</v>
      </c>
    </row>
    <row r="150" spans="1:6" x14ac:dyDescent="0.35">
      <c r="A150" t="s">
        <v>208</v>
      </c>
      <c r="B150">
        <v>433.37</v>
      </c>
      <c r="C150">
        <v>362</v>
      </c>
      <c r="D150" t="s">
        <v>12</v>
      </c>
      <c r="E150" t="s">
        <v>69</v>
      </c>
      <c r="F150">
        <f t="shared" si="2"/>
        <v>156879.94</v>
      </c>
    </row>
    <row r="151" spans="1:6" x14ac:dyDescent="0.35">
      <c r="A151" t="s">
        <v>209</v>
      </c>
      <c r="B151">
        <v>388.74</v>
      </c>
      <c r="C151">
        <v>440</v>
      </c>
      <c r="D151" t="s">
        <v>14</v>
      </c>
      <c r="E151" t="s">
        <v>126</v>
      </c>
      <c r="F151">
        <f t="shared" si="2"/>
        <v>171045.6</v>
      </c>
    </row>
    <row r="152" spans="1:6" x14ac:dyDescent="0.35">
      <c r="A152" t="s">
        <v>210</v>
      </c>
      <c r="B152">
        <v>869.1</v>
      </c>
      <c r="C152">
        <v>10</v>
      </c>
      <c r="D152" t="s">
        <v>12</v>
      </c>
      <c r="E152" t="s">
        <v>69</v>
      </c>
      <c r="F152">
        <f t="shared" si="2"/>
        <v>8691</v>
      </c>
    </row>
    <row r="153" spans="1:6" x14ac:dyDescent="0.35">
      <c r="A153" t="s">
        <v>211</v>
      </c>
      <c r="B153">
        <v>350.24</v>
      </c>
      <c r="C153">
        <v>515</v>
      </c>
      <c r="D153" t="s">
        <v>6</v>
      </c>
      <c r="E153" t="s">
        <v>126</v>
      </c>
      <c r="F153">
        <f t="shared" si="2"/>
        <v>180373.6</v>
      </c>
    </row>
    <row r="154" spans="1:6" x14ac:dyDescent="0.35">
      <c r="A154" t="s">
        <v>212</v>
      </c>
      <c r="B154">
        <v>364.26</v>
      </c>
      <c r="C154">
        <v>705</v>
      </c>
      <c r="D154" t="s">
        <v>14</v>
      </c>
      <c r="E154" t="s">
        <v>168</v>
      </c>
      <c r="F154">
        <f t="shared" si="2"/>
        <v>256803.3</v>
      </c>
    </row>
    <row r="155" spans="1:6" x14ac:dyDescent="0.35">
      <c r="A155" t="s">
        <v>213</v>
      </c>
      <c r="B155">
        <v>976.37</v>
      </c>
      <c r="C155">
        <v>597</v>
      </c>
      <c r="D155" t="s">
        <v>9</v>
      </c>
      <c r="E155" t="s">
        <v>57</v>
      </c>
      <c r="F155">
        <f t="shared" si="2"/>
        <v>582892.89</v>
      </c>
    </row>
    <row r="156" spans="1:6" x14ac:dyDescent="0.35">
      <c r="A156" t="s">
        <v>179</v>
      </c>
      <c r="B156">
        <v>737.63</v>
      </c>
      <c r="C156">
        <v>725</v>
      </c>
      <c r="D156" t="s">
        <v>6</v>
      </c>
      <c r="E156" t="s">
        <v>7</v>
      </c>
      <c r="F156">
        <f t="shared" si="2"/>
        <v>534781.75</v>
      </c>
    </row>
    <row r="157" spans="1:6" x14ac:dyDescent="0.35">
      <c r="A157" t="s">
        <v>214</v>
      </c>
      <c r="B157">
        <v>286.83999999999997</v>
      </c>
      <c r="C157">
        <v>302</v>
      </c>
      <c r="D157" t="s">
        <v>6</v>
      </c>
      <c r="E157" t="s">
        <v>42</v>
      </c>
      <c r="F157">
        <f t="shared" si="2"/>
        <v>86625.68</v>
      </c>
    </row>
    <row r="158" spans="1:6" x14ac:dyDescent="0.35">
      <c r="A158" t="s">
        <v>215</v>
      </c>
      <c r="B158">
        <v>462.88</v>
      </c>
      <c r="C158">
        <v>55</v>
      </c>
      <c r="D158" t="s">
        <v>6</v>
      </c>
      <c r="E158" t="s">
        <v>216</v>
      </c>
      <c r="F158">
        <f t="shared" si="2"/>
        <v>25458.400000000001</v>
      </c>
    </row>
    <row r="159" spans="1:6" x14ac:dyDescent="0.35">
      <c r="A159" t="s">
        <v>217</v>
      </c>
      <c r="B159">
        <v>809.61</v>
      </c>
      <c r="C159">
        <v>261</v>
      </c>
      <c r="D159" t="s">
        <v>14</v>
      </c>
      <c r="E159" t="s">
        <v>40</v>
      </c>
      <c r="F159">
        <f t="shared" si="2"/>
        <v>211308.21</v>
      </c>
    </row>
    <row r="160" spans="1:6" x14ac:dyDescent="0.35">
      <c r="A160" t="s">
        <v>198</v>
      </c>
      <c r="B160">
        <v>125.87</v>
      </c>
      <c r="C160">
        <v>483</v>
      </c>
      <c r="D160" t="s">
        <v>9</v>
      </c>
      <c r="E160" t="s">
        <v>72</v>
      </c>
      <c r="F160">
        <f t="shared" si="2"/>
        <v>60795.21</v>
      </c>
    </row>
    <row r="161" spans="1:6" x14ac:dyDescent="0.35">
      <c r="A161" t="s">
        <v>218</v>
      </c>
      <c r="B161">
        <v>773.46</v>
      </c>
      <c r="C161">
        <v>755</v>
      </c>
      <c r="D161" t="s">
        <v>9</v>
      </c>
      <c r="E161" t="s">
        <v>7</v>
      </c>
      <c r="F161">
        <f t="shared" si="2"/>
        <v>583962.30000000005</v>
      </c>
    </row>
    <row r="162" spans="1:6" x14ac:dyDescent="0.35">
      <c r="A162" t="s">
        <v>219</v>
      </c>
      <c r="B162">
        <v>779.49</v>
      </c>
      <c r="C162">
        <v>970</v>
      </c>
      <c r="D162" t="s">
        <v>12</v>
      </c>
      <c r="E162" t="s">
        <v>44</v>
      </c>
      <c r="F162">
        <f t="shared" si="2"/>
        <v>756105.3</v>
      </c>
    </row>
    <row r="163" spans="1:6" x14ac:dyDescent="0.35">
      <c r="A163" t="s">
        <v>220</v>
      </c>
      <c r="B163">
        <v>327.83</v>
      </c>
      <c r="C163">
        <v>177</v>
      </c>
      <c r="D163" t="s">
        <v>14</v>
      </c>
      <c r="E163" t="s">
        <v>108</v>
      </c>
      <c r="F163">
        <f t="shared" si="2"/>
        <v>58025.909999999996</v>
      </c>
    </row>
    <row r="164" spans="1:6" x14ac:dyDescent="0.35">
      <c r="A164" t="s">
        <v>221</v>
      </c>
      <c r="B164">
        <v>316.67</v>
      </c>
      <c r="C164">
        <v>414</v>
      </c>
      <c r="D164" t="s">
        <v>14</v>
      </c>
      <c r="E164" t="s">
        <v>222</v>
      </c>
      <c r="F164">
        <f t="shared" si="2"/>
        <v>131101.38</v>
      </c>
    </row>
    <row r="165" spans="1:6" x14ac:dyDescent="0.35">
      <c r="A165" t="s">
        <v>223</v>
      </c>
      <c r="B165">
        <v>885.16</v>
      </c>
      <c r="C165">
        <v>740</v>
      </c>
      <c r="D165" t="s">
        <v>9</v>
      </c>
      <c r="E165" t="s">
        <v>7</v>
      </c>
      <c r="F165">
        <f t="shared" si="2"/>
        <v>655018.4</v>
      </c>
    </row>
    <row r="166" spans="1:6" x14ac:dyDescent="0.35">
      <c r="A166" t="s">
        <v>224</v>
      </c>
      <c r="B166">
        <v>468.26</v>
      </c>
      <c r="C166">
        <v>262</v>
      </c>
      <c r="D166" t="s">
        <v>17</v>
      </c>
      <c r="E166" t="s">
        <v>171</v>
      </c>
      <c r="F166">
        <f t="shared" si="2"/>
        <v>122684.12</v>
      </c>
    </row>
    <row r="167" spans="1:6" x14ac:dyDescent="0.35">
      <c r="A167" t="s">
        <v>225</v>
      </c>
      <c r="B167">
        <v>349.87</v>
      </c>
      <c r="C167">
        <v>310</v>
      </c>
      <c r="D167" t="s">
        <v>6</v>
      </c>
      <c r="E167" t="s">
        <v>72</v>
      </c>
      <c r="F167">
        <f t="shared" si="2"/>
        <v>108459.7</v>
      </c>
    </row>
    <row r="168" spans="1:6" x14ac:dyDescent="0.35">
      <c r="A168" t="s">
        <v>226</v>
      </c>
      <c r="B168">
        <v>938.37</v>
      </c>
      <c r="C168">
        <v>541</v>
      </c>
      <c r="D168" t="s">
        <v>14</v>
      </c>
      <c r="E168" t="s">
        <v>72</v>
      </c>
      <c r="F168">
        <f t="shared" si="2"/>
        <v>507658.17</v>
      </c>
    </row>
    <row r="169" spans="1:6" x14ac:dyDescent="0.35">
      <c r="A169" t="s">
        <v>227</v>
      </c>
      <c r="B169">
        <v>940.79</v>
      </c>
      <c r="C169">
        <v>364</v>
      </c>
      <c r="D169" t="s">
        <v>12</v>
      </c>
      <c r="E169" t="s">
        <v>222</v>
      </c>
      <c r="F169">
        <f t="shared" si="2"/>
        <v>342447.56</v>
      </c>
    </row>
    <row r="170" spans="1:6" x14ac:dyDescent="0.35">
      <c r="A170" t="s">
        <v>228</v>
      </c>
      <c r="B170">
        <v>367.61</v>
      </c>
      <c r="C170">
        <v>541</v>
      </c>
      <c r="D170" t="s">
        <v>17</v>
      </c>
      <c r="E170" t="s">
        <v>118</v>
      </c>
      <c r="F170">
        <f t="shared" si="2"/>
        <v>198877.01</v>
      </c>
    </row>
    <row r="171" spans="1:6" x14ac:dyDescent="0.35">
      <c r="A171" t="s">
        <v>229</v>
      </c>
      <c r="B171">
        <v>606.17999999999995</v>
      </c>
      <c r="C171">
        <v>705</v>
      </c>
      <c r="D171" t="s">
        <v>12</v>
      </c>
      <c r="E171" t="s">
        <v>230</v>
      </c>
      <c r="F171">
        <f t="shared" si="2"/>
        <v>427356.89999999997</v>
      </c>
    </row>
    <row r="172" spans="1:6" x14ac:dyDescent="0.35">
      <c r="A172" t="s">
        <v>231</v>
      </c>
      <c r="B172">
        <v>457.49</v>
      </c>
      <c r="C172">
        <v>680</v>
      </c>
      <c r="D172" t="s">
        <v>17</v>
      </c>
      <c r="E172" t="s">
        <v>72</v>
      </c>
      <c r="F172">
        <f t="shared" si="2"/>
        <v>311093.2</v>
      </c>
    </row>
    <row r="173" spans="1:6" x14ac:dyDescent="0.35">
      <c r="A173" t="s">
        <v>232</v>
      </c>
      <c r="B173">
        <v>226.66</v>
      </c>
      <c r="C173">
        <v>826</v>
      </c>
      <c r="D173" t="s">
        <v>6</v>
      </c>
      <c r="E173" t="s">
        <v>108</v>
      </c>
      <c r="F173">
        <f t="shared" si="2"/>
        <v>187221.16</v>
      </c>
    </row>
    <row r="174" spans="1:6" x14ac:dyDescent="0.35">
      <c r="A174" t="s">
        <v>178</v>
      </c>
      <c r="B174">
        <v>211.02</v>
      </c>
      <c r="C174">
        <v>833</v>
      </c>
      <c r="D174" t="s">
        <v>9</v>
      </c>
      <c r="E174" t="s">
        <v>7</v>
      </c>
      <c r="F174">
        <f t="shared" si="2"/>
        <v>175779.66</v>
      </c>
    </row>
    <row r="175" spans="1:6" x14ac:dyDescent="0.35">
      <c r="A175" t="s">
        <v>233</v>
      </c>
      <c r="B175">
        <v>362.17</v>
      </c>
      <c r="C175">
        <v>472</v>
      </c>
      <c r="D175" t="s">
        <v>17</v>
      </c>
      <c r="E175" t="s">
        <v>234</v>
      </c>
      <c r="F175">
        <f t="shared" si="2"/>
        <v>170944.24000000002</v>
      </c>
    </row>
    <row r="176" spans="1:6" x14ac:dyDescent="0.35">
      <c r="A176" t="s">
        <v>235</v>
      </c>
      <c r="B176">
        <v>996.85</v>
      </c>
      <c r="C176">
        <v>363</v>
      </c>
      <c r="D176" t="s">
        <v>6</v>
      </c>
      <c r="E176" t="s">
        <v>236</v>
      </c>
      <c r="F176">
        <f t="shared" si="2"/>
        <v>361856.55</v>
      </c>
    </row>
    <row r="177" spans="1:6" x14ac:dyDescent="0.35">
      <c r="A177" t="s">
        <v>71</v>
      </c>
      <c r="B177">
        <v>347.28</v>
      </c>
      <c r="C177">
        <v>17</v>
      </c>
      <c r="D177" t="s">
        <v>12</v>
      </c>
      <c r="E177" t="s">
        <v>72</v>
      </c>
      <c r="F177">
        <f t="shared" si="2"/>
        <v>5903.7599999999993</v>
      </c>
    </row>
    <row r="178" spans="1:6" x14ac:dyDescent="0.35">
      <c r="A178" t="s">
        <v>16</v>
      </c>
      <c r="B178">
        <v>34.51</v>
      </c>
      <c r="C178">
        <v>112</v>
      </c>
      <c r="D178" t="s">
        <v>17</v>
      </c>
      <c r="E178" t="s">
        <v>18</v>
      </c>
      <c r="F178">
        <f t="shared" si="2"/>
        <v>3865.12</v>
      </c>
    </row>
    <row r="179" spans="1:6" x14ac:dyDescent="0.35">
      <c r="A179" t="s">
        <v>237</v>
      </c>
      <c r="B179">
        <v>392.84</v>
      </c>
      <c r="C179">
        <v>380</v>
      </c>
      <c r="D179" t="s">
        <v>17</v>
      </c>
      <c r="E179" t="s">
        <v>72</v>
      </c>
      <c r="F179">
        <f t="shared" si="2"/>
        <v>149279.19999999998</v>
      </c>
    </row>
    <row r="180" spans="1:6" x14ac:dyDescent="0.35">
      <c r="A180" t="s">
        <v>238</v>
      </c>
      <c r="B180">
        <v>399.16</v>
      </c>
      <c r="C180">
        <v>961</v>
      </c>
      <c r="D180" t="s">
        <v>14</v>
      </c>
      <c r="E180" t="s">
        <v>79</v>
      </c>
      <c r="F180">
        <f t="shared" si="2"/>
        <v>383592.76</v>
      </c>
    </row>
    <row r="181" spans="1:6" x14ac:dyDescent="0.35">
      <c r="A181" t="s">
        <v>239</v>
      </c>
      <c r="B181">
        <v>541.29</v>
      </c>
      <c r="C181">
        <v>823</v>
      </c>
      <c r="D181" t="s">
        <v>6</v>
      </c>
      <c r="E181" t="s">
        <v>240</v>
      </c>
      <c r="F181">
        <f t="shared" si="2"/>
        <v>445481.67</v>
      </c>
    </row>
    <row r="182" spans="1:6" x14ac:dyDescent="0.35">
      <c r="A182" t="s">
        <v>241</v>
      </c>
      <c r="B182">
        <v>309.07</v>
      </c>
      <c r="C182">
        <v>466</v>
      </c>
      <c r="D182" t="s">
        <v>9</v>
      </c>
      <c r="E182" t="s">
        <v>66</v>
      </c>
      <c r="F182">
        <f t="shared" si="2"/>
        <v>144026.62</v>
      </c>
    </row>
    <row r="183" spans="1:6" x14ac:dyDescent="0.35">
      <c r="A183" t="s">
        <v>242</v>
      </c>
      <c r="B183">
        <v>744.19</v>
      </c>
      <c r="C183">
        <v>583</v>
      </c>
      <c r="D183" t="s">
        <v>6</v>
      </c>
      <c r="E183" t="s">
        <v>57</v>
      </c>
      <c r="F183">
        <f t="shared" si="2"/>
        <v>433862.77</v>
      </c>
    </row>
    <row r="184" spans="1:6" x14ac:dyDescent="0.35">
      <c r="A184" t="s">
        <v>243</v>
      </c>
      <c r="B184">
        <v>125.02</v>
      </c>
      <c r="C184">
        <v>190</v>
      </c>
      <c r="D184" t="s">
        <v>14</v>
      </c>
      <c r="E184" t="s">
        <v>81</v>
      </c>
      <c r="F184">
        <f t="shared" si="2"/>
        <v>23753.8</v>
      </c>
    </row>
    <row r="185" spans="1:6" x14ac:dyDescent="0.35">
      <c r="A185" t="s">
        <v>244</v>
      </c>
      <c r="B185">
        <v>695.76</v>
      </c>
      <c r="C185">
        <v>567</v>
      </c>
      <c r="D185" t="s">
        <v>17</v>
      </c>
      <c r="E185" t="s">
        <v>42</v>
      </c>
      <c r="F185">
        <f t="shared" si="2"/>
        <v>394495.92</v>
      </c>
    </row>
    <row r="186" spans="1:6" x14ac:dyDescent="0.35">
      <c r="A186" t="s">
        <v>245</v>
      </c>
      <c r="B186">
        <v>959.68</v>
      </c>
      <c r="C186">
        <v>271</v>
      </c>
      <c r="D186" t="s">
        <v>6</v>
      </c>
      <c r="E186" t="s">
        <v>44</v>
      </c>
      <c r="F186">
        <f t="shared" si="2"/>
        <v>260073.28</v>
      </c>
    </row>
    <row r="187" spans="1:6" x14ac:dyDescent="0.35">
      <c r="A187" t="s">
        <v>246</v>
      </c>
      <c r="B187">
        <v>87.26</v>
      </c>
      <c r="C187">
        <v>828</v>
      </c>
      <c r="D187" t="s">
        <v>17</v>
      </c>
      <c r="E187" t="s">
        <v>247</v>
      </c>
      <c r="F187">
        <f t="shared" si="2"/>
        <v>72251.28</v>
      </c>
    </row>
    <row r="188" spans="1:6" x14ac:dyDescent="0.35">
      <c r="A188" t="s">
        <v>248</v>
      </c>
      <c r="B188">
        <v>482.82</v>
      </c>
      <c r="C188">
        <v>455</v>
      </c>
      <c r="D188" t="s">
        <v>14</v>
      </c>
      <c r="E188" t="s">
        <v>133</v>
      </c>
      <c r="F188">
        <f t="shared" si="2"/>
        <v>219683.1</v>
      </c>
    </row>
    <row r="189" spans="1:6" x14ac:dyDescent="0.35">
      <c r="A189" t="s">
        <v>249</v>
      </c>
      <c r="B189">
        <v>851.07</v>
      </c>
      <c r="C189">
        <v>539</v>
      </c>
      <c r="D189" t="s">
        <v>9</v>
      </c>
      <c r="E189" t="s">
        <v>38</v>
      </c>
      <c r="F189">
        <f t="shared" si="2"/>
        <v>458726.73000000004</v>
      </c>
    </row>
    <row r="190" spans="1:6" x14ac:dyDescent="0.35">
      <c r="A190" t="s">
        <v>250</v>
      </c>
      <c r="B190">
        <v>463.07</v>
      </c>
      <c r="C190">
        <v>717</v>
      </c>
      <c r="D190" t="s">
        <v>17</v>
      </c>
      <c r="E190" t="s">
        <v>57</v>
      </c>
      <c r="F190">
        <f t="shared" si="2"/>
        <v>332021.19</v>
      </c>
    </row>
    <row r="191" spans="1:6" x14ac:dyDescent="0.35">
      <c r="A191" t="s">
        <v>251</v>
      </c>
      <c r="B191">
        <v>951.43</v>
      </c>
      <c r="C191">
        <v>155</v>
      </c>
      <c r="D191" t="s">
        <v>9</v>
      </c>
      <c r="E191" t="s">
        <v>252</v>
      </c>
      <c r="F191">
        <f t="shared" si="2"/>
        <v>147471.65</v>
      </c>
    </row>
    <row r="192" spans="1:6" x14ac:dyDescent="0.35">
      <c r="A192" t="s">
        <v>253</v>
      </c>
      <c r="B192">
        <v>101.42</v>
      </c>
      <c r="C192">
        <v>753</v>
      </c>
      <c r="D192" t="s">
        <v>6</v>
      </c>
      <c r="E192" t="s">
        <v>57</v>
      </c>
      <c r="F192">
        <f t="shared" si="2"/>
        <v>76369.259999999995</v>
      </c>
    </row>
    <row r="193" spans="1:6" x14ac:dyDescent="0.35">
      <c r="A193" t="s">
        <v>254</v>
      </c>
      <c r="B193">
        <v>638.62</v>
      </c>
      <c r="C193">
        <v>631</v>
      </c>
      <c r="D193" t="s">
        <v>12</v>
      </c>
      <c r="E193" t="s">
        <v>216</v>
      </c>
      <c r="F193">
        <f t="shared" si="2"/>
        <v>402969.22000000003</v>
      </c>
    </row>
    <row r="194" spans="1:6" x14ac:dyDescent="0.35">
      <c r="A194" t="s">
        <v>255</v>
      </c>
      <c r="B194">
        <v>114.92</v>
      </c>
      <c r="C194">
        <v>482</v>
      </c>
      <c r="D194" t="s">
        <v>6</v>
      </c>
      <c r="E194" t="s">
        <v>72</v>
      </c>
      <c r="F194">
        <f t="shared" si="2"/>
        <v>55391.44</v>
      </c>
    </row>
    <row r="195" spans="1:6" x14ac:dyDescent="0.35">
      <c r="A195" t="s">
        <v>256</v>
      </c>
      <c r="B195">
        <v>247.48</v>
      </c>
      <c r="C195">
        <v>14</v>
      </c>
      <c r="D195" t="s">
        <v>14</v>
      </c>
      <c r="E195" t="s">
        <v>15</v>
      </c>
      <c r="F195">
        <f t="shared" ref="F195:F258" si="3">B195*C195</f>
        <v>3464.72</v>
      </c>
    </row>
    <row r="196" spans="1:6" x14ac:dyDescent="0.35">
      <c r="A196" t="s">
        <v>257</v>
      </c>
      <c r="B196">
        <v>250.66</v>
      </c>
      <c r="C196">
        <v>740</v>
      </c>
      <c r="D196" t="s">
        <v>17</v>
      </c>
      <c r="E196" t="s">
        <v>7</v>
      </c>
      <c r="F196">
        <f t="shared" si="3"/>
        <v>185488.4</v>
      </c>
    </row>
    <row r="197" spans="1:6" x14ac:dyDescent="0.35">
      <c r="A197" t="s">
        <v>258</v>
      </c>
      <c r="B197">
        <v>430.71</v>
      </c>
      <c r="C197">
        <v>932</v>
      </c>
      <c r="D197" t="s">
        <v>9</v>
      </c>
      <c r="E197" t="s">
        <v>126</v>
      </c>
      <c r="F197">
        <f t="shared" si="3"/>
        <v>401421.72</v>
      </c>
    </row>
    <row r="198" spans="1:6" x14ac:dyDescent="0.35">
      <c r="A198" t="s">
        <v>259</v>
      </c>
      <c r="B198">
        <v>903.86</v>
      </c>
      <c r="C198">
        <v>939</v>
      </c>
      <c r="D198" t="s">
        <v>14</v>
      </c>
      <c r="E198" t="s">
        <v>48</v>
      </c>
      <c r="F198">
        <f t="shared" si="3"/>
        <v>848724.54</v>
      </c>
    </row>
    <row r="199" spans="1:6" x14ac:dyDescent="0.35">
      <c r="A199" t="s">
        <v>260</v>
      </c>
      <c r="B199">
        <v>832.25</v>
      </c>
      <c r="C199">
        <v>154</v>
      </c>
      <c r="D199" t="s">
        <v>12</v>
      </c>
      <c r="E199" t="s">
        <v>25</v>
      </c>
      <c r="F199">
        <f t="shared" si="3"/>
        <v>128166.5</v>
      </c>
    </row>
    <row r="200" spans="1:6" x14ac:dyDescent="0.35">
      <c r="A200" t="s">
        <v>261</v>
      </c>
      <c r="B200">
        <v>574.04</v>
      </c>
      <c r="C200">
        <v>567</v>
      </c>
      <c r="D200" t="s">
        <v>17</v>
      </c>
      <c r="E200" t="s">
        <v>33</v>
      </c>
      <c r="F200">
        <f t="shared" si="3"/>
        <v>325480.68</v>
      </c>
    </row>
    <row r="201" spans="1:6" x14ac:dyDescent="0.35">
      <c r="A201" t="s">
        <v>262</v>
      </c>
      <c r="B201">
        <v>844.69</v>
      </c>
      <c r="C201">
        <v>109</v>
      </c>
      <c r="D201" t="s">
        <v>9</v>
      </c>
      <c r="E201" t="s">
        <v>263</v>
      </c>
      <c r="F201">
        <f t="shared" si="3"/>
        <v>92071.21</v>
      </c>
    </row>
    <row r="202" spans="1:6" x14ac:dyDescent="0.35">
      <c r="A202" t="s">
        <v>264</v>
      </c>
      <c r="B202">
        <v>496.61</v>
      </c>
      <c r="C202">
        <v>23</v>
      </c>
      <c r="D202" t="s">
        <v>12</v>
      </c>
      <c r="E202" t="s">
        <v>72</v>
      </c>
      <c r="F202">
        <f t="shared" si="3"/>
        <v>11422.03</v>
      </c>
    </row>
    <row r="203" spans="1:6" x14ac:dyDescent="0.35">
      <c r="A203" t="s">
        <v>265</v>
      </c>
      <c r="B203">
        <v>139.30000000000001</v>
      </c>
      <c r="C203">
        <v>628</v>
      </c>
      <c r="D203" t="s">
        <v>17</v>
      </c>
      <c r="E203" t="s">
        <v>240</v>
      </c>
      <c r="F203">
        <f t="shared" si="3"/>
        <v>87480.400000000009</v>
      </c>
    </row>
    <row r="204" spans="1:6" x14ac:dyDescent="0.35">
      <c r="A204" t="s">
        <v>266</v>
      </c>
      <c r="B204">
        <v>629.66999999999996</v>
      </c>
      <c r="C204">
        <v>596</v>
      </c>
      <c r="D204" t="s">
        <v>12</v>
      </c>
      <c r="E204" t="s">
        <v>53</v>
      </c>
      <c r="F204">
        <f t="shared" si="3"/>
        <v>375283.31999999995</v>
      </c>
    </row>
    <row r="205" spans="1:6" x14ac:dyDescent="0.35">
      <c r="A205" t="s">
        <v>267</v>
      </c>
      <c r="B205">
        <v>872.15</v>
      </c>
      <c r="C205">
        <v>971</v>
      </c>
      <c r="D205" t="s">
        <v>14</v>
      </c>
      <c r="E205" t="s">
        <v>108</v>
      </c>
      <c r="F205">
        <f t="shared" si="3"/>
        <v>846857.65</v>
      </c>
    </row>
    <row r="206" spans="1:6" x14ac:dyDescent="0.35">
      <c r="A206" t="s">
        <v>268</v>
      </c>
      <c r="B206">
        <v>461.81</v>
      </c>
      <c r="C206">
        <v>910</v>
      </c>
      <c r="D206" t="s">
        <v>17</v>
      </c>
      <c r="E206" t="s">
        <v>69</v>
      </c>
      <c r="F206">
        <f t="shared" si="3"/>
        <v>420247.1</v>
      </c>
    </row>
    <row r="207" spans="1:6" x14ac:dyDescent="0.35">
      <c r="A207" t="s">
        <v>269</v>
      </c>
      <c r="B207">
        <v>158.85</v>
      </c>
      <c r="C207">
        <v>522</v>
      </c>
      <c r="D207" t="s">
        <v>12</v>
      </c>
      <c r="E207" t="s">
        <v>69</v>
      </c>
      <c r="F207">
        <f t="shared" si="3"/>
        <v>82919.7</v>
      </c>
    </row>
    <row r="208" spans="1:6" x14ac:dyDescent="0.35">
      <c r="A208" t="s">
        <v>270</v>
      </c>
      <c r="B208">
        <v>991.81</v>
      </c>
      <c r="C208">
        <v>449</v>
      </c>
      <c r="D208" t="s">
        <v>14</v>
      </c>
      <c r="E208" t="s">
        <v>155</v>
      </c>
      <c r="F208">
        <f t="shared" si="3"/>
        <v>445322.69</v>
      </c>
    </row>
    <row r="209" spans="1:6" x14ac:dyDescent="0.35">
      <c r="A209" t="s">
        <v>271</v>
      </c>
      <c r="B209">
        <v>777.77</v>
      </c>
      <c r="C209">
        <v>532</v>
      </c>
      <c r="D209" t="s">
        <v>12</v>
      </c>
      <c r="E209" t="s">
        <v>108</v>
      </c>
      <c r="F209">
        <f t="shared" si="3"/>
        <v>413773.64</v>
      </c>
    </row>
    <row r="210" spans="1:6" x14ac:dyDescent="0.35">
      <c r="A210" t="s">
        <v>272</v>
      </c>
      <c r="B210">
        <v>931.76</v>
      </c>
      <c r="C210">
        <v>519</v>
      </c>
      <c r="D210" t="s">
        <v>12</v>
      </c>
      <c r="E210" t="s">
        <v>40</v>
      </c>
      <c r="F210">
        <f t="shared" si="3"/>
        <v>483583.44</v>
      </c>
    </row>
    <row r="211" spans="1:6" x14ac:dyDescent="0.35">
      <c r="A211" t="s">
        <v>273</v>
      </c>
      <c r="B211">
        <v>525.30999999999995</v>
      </c>
      <c r="C211">
        <v>983</v>
      </c>
      <c r="D211" t="s">
        <v>14</v>
      </c>
      <c r="E211" t="s">
        <v>44</v>
      </c>
      <c r="F211">
        <f t="shared" si="3"/>
        <v>516379.72999999992</v>
      </c>
    </row>
    <row r="212" spans="1:6" x14ac:dyDescent="0.35">
      <c r="A212" t="s">
        <v>274</v>
      </c>
      <c r="B212">
        <v>41.46</v>
      </c>
      <c r="C212">
        <v>300</v>
      </c>
      <c r="D212" t="s">
        <v>12</v>
      </c>
      <c r="E212" t="s">
        <v>15</v>
      </c>
      <c r="F212">
        <f t="shared" si="3"/>
        <v>12438</v>
      </c>
    </row>
    <row r="213" spans="1:6" x14ac:dyDescent="0.35">
      <c r="A213" t="s">
        <v>275</v>
      </c>
      <c r="B213">
        <v>525.54</v>
      </c>
      <c r="C213">
        <v>960</v>
      </c>
      <c r="D213" t="s">
        <v>17</v>
      </c>
      <c r="E213" t="s">
        <v>15</v>
      </c>
      <c r="F213">
        <f t="shared" si="3"/>
        <v>504518.39999999997</v>
      </c>
    </row>
    <row r="214" spans="1:6" x14ac:dyDescent="0.35">
      <c r="A214" t="s">
        <v>276</v>
      </c>
      <c r="B214">
        <v>21.95</v>
      </c>
      <c r="C214">
        <v>245</v>
      </c>
      <c r="D214" t="s">
        <v>17</v>
      </c>
      <c r="E214" t="s">
        <v>66</v>
      </c>
      <c r="F214">
        <f t="shared" si="3"/>
        <v>5377.75</v>
      </c>
    </row>
    <row r="215" spans="1:6" x14ac:dyDescent="0.35">
      <c r="A215" t="s">
        <v>277</v>
      </c>
      <c r="B215">
        <v>713.36</v>
      </c>
      <c r="C215">
        <v>136</v>
      </c>
      <c r="D215" t="s">
        <v>9</v>
      </c>
      <c r="E215" t="s">
        <v>33</v>
      </c>
      <c r="F215">
        <f t="shared" si="3"/>
        <v>97016.960000000006</v>
      </c>
    </row>
    <row r="216" spans="1:6" x14ac:dyDescent="0.35">
      <c r="A216" t="s">
        <v>278</v>
      </c>
      <c r="B216">
        <v>65.64</v>
      </c>
      <c r="C216">
        <v>981</v>
      </c>
      <c r="D216" t="s">
        <v>12</v>
      </c>
      <c r="E216" t="s">
        <v>108</v>
      </c>
      <c r="F216">
        <f t="shared" si="3"/>
        <v>64392.840000000004</v>
      </c>
    </row>
    <row r="217" spans="1:6" x14ac:dyDescent="0.35">
      <c r="A217" t="s">
        <v>279</v>
      </c>
      <c r="B217">
        <v>490.99</v>
      </c>
      <c r="C217">
        <v>828</v>
      </c>
      <c r="D217" t="s">
        <v>6</v>
      </c>
      <c r="E217" t="s">
        <v>280</v>
      </c>
      <c r="F217">
        <f t="shared" si="3"/>
        <v>406539.72000000003</v>
      </c>
    </row>
    <row r="218" spans="1:6" x14ac:dyDescent="0.35">
      <c r="A218" t="s">
        <v>281</v>
      </c>
      <c r="B218">
        <v>173.23</v>
      </c>
      <c r="C218">
        <v>557</v>
      </c>
      <c r="D218" t="s">
        <v>9</v>
      </c>
      <c r="E218" t="s">
        <v>282</v>
      </c>
      <c r="F218">
        <f t="shared" si="3"/>
        <v>96489.11</v>
      </c>
    </row>
    <row r="219" spans="1:6" x14ac:dyDescent="0.35">
      <c r="A219" t="s">
        <v>283</v>
      </c>
      <c r="B219">
        <v>170</v>
      </c>
      <c r="C219">
        <v>20</v>
      </c>
      <c r="D219" t="s">
        <v>12</v>
      </c>
      <c r="E219" t="s">
        <v>27</v>
      </c>
      <c r="F219">
        <f t="shared" si="3"/>
        <v>3400</v>
      </c>
    </row>
    <row r="220" spans="1:6" x14ac:dyDescent="0.35">
      <c r="A220" t="s">
        <v>284</v>
      </c>
      <c r="B220">
        <v>52.99</v>
      </c>
      <c r="C220">
        <v>964</v>
      </c>
      <c r="D220" t="s">
        <v>6</v>
      </c>
      <c r="E220" t="s">
        <v>7</v>
      </c>
      <c r="F220">
        <f t="shared" si="3"/>
        <v>51082.36</v>
      </c>
    </row>
    <row r="221" spans="1:6" x14ac:dyDescent="0.35">
      <c r="A221" t="s">
        <v>285</v>
      </c>
      <c r="B221">
        <v>943.67</v>
      </c>
      <c r="C221">
        <v>359</v>
      </c>
      <c r="D221" t="s">
        <v>12</v>
      </c>
      <c r="E221" t="s">
        <v>240</v>
      </c>
      <c r="F221">
        <f t="shared" si="3"/>
        <v>338777.52999999997</v>
      </c>
    </row>
    <row r="222" spans="1:6" x14ac:dyDescent="0.35">
      <c r="A222" t="s">
        <v>286</v>
      </c>
      <c r="B222">
        <v>479.41</v>
      </c>
      <c r="C222">
        <v>907</v>
      </c>
      <c r="D222" t="s">
        <v>9</v>
      </c>
      <c r="E222" t="s">
        <v>72</v>
      </c>
      <c r="F222">
        <f t="shared" si="3"/>
        <v>434824.87</v>
      </c>
    </row>
    <row r="223" spans="1:6" x14ac:dyDescent="0.35">
      <c r="A223" t="s">
        <v>287</v>
      </c>
      <c r="B223">
        <v>669.77</v>
      </c>
      <c r="C223">
        <v>415</v>
      </c>
      <c r="D223" t="s">
        <v>12</v>
      </c>
      <c r="E223" t="s">
        <v>108</v>
      </c>
      <c r="F223">
        <f t="shared" si="3"/>
        <v>277954.55</v>
      </c>
    </row>
    <row r="224" spans="1:6" x14ac:dyDescent="0.35">
      <c r="A224" t="s">
        <v>288</v>
      </c>
      <c r="B224">
        <v>142.80000000000001</v>
      </c>
      <c r="C224">
        <v>596</v>
      </c>
      <c r="D224" t="s">
        <v>9</v>
      </c>
      <c r="E224" t="s">
        <v>33</v>
      </c>
      <c r="F224">
        <f t="shared" si="3"/>
        <v>85108.800000000003</v>
      </c>
    </row>
    <row r="225" spans="1:6" x14ac:dyDescent="0.35">
      <c r="A225" t="s">
        <v>259</v>
      </c>
      <c r="B225">
        <v>768.15</v>
      </c>
      <c r="C225">
        <v>701</v>
      </c>
      <c r="D225" t="s">
        <v>6</v>
      </c>
      <c r="E225" t="s">
        <v>48</v>
      </c>
      <c r="F225">
        <f t="shared" si="3"/>
        <v>538473.15</v>
      </c>
    </row>
    <row r="226" spans="1:6" x14ac:dyDescent="0.35">
      <c r="A226" t="s">
        <v>289</v>
      </c>
      <c r="B226">
        <v>669.17</v>
      </c>
      <c r="C226">
        <v>318</v>
      </c>
      <c r="D226" t="s">
        <v>14</v>
      </c>
      <c r="E226" t="s">
        <v>290</v>
      </c>
      <c r="F226">
        <f t="shared" si="3"/>
        <v>212796.06</v>
      </c>
    </row>
    <row r="227" spans="1:6" x14ac:dyDescent="0.35">
      <c r="A227" t="s">
        <v>291</v>
      </c>
      <c r="B227">
        <v>650.97</v>
      </c>
      <c r="C227">
        <v>73</v>
      </c>
      <c r="D227" t="s">
        <v>14</v>
      </c>
      <c r="E227" t="s">
        <v>69</v>
      </c>
      <c r="F227">
        <f t="shared" si="3"/>
        <v>47520.810000000005</v>
      </c>
    </row>
    <row r="228" spans="1:6" x14ac:dyDescent="0.35">
      <c r="A228" t="s">
        <v>292</v>
      </c>
      <c r="B228">
        <v>74.12</v>
      </c>
      <c r="C228">
        <v>173</v>
      </c>
      <c r="D228" t="s">
        <v>14</v>
      </c>
      <c r="E228" t="s">
        <v>72</v>
      </c>
      <c r="F228">
        <f t="shared" si="3"/>
        <v>12822.76</v>
      </c>
    </row>
    <row r="229" spans="1:6" x14ac:dyDescent="0.35">
      <c r="A229" t="s">
        <v>293</v>
      </c>
      <c r="B229">
        <v>325.25</v>
      </c>
      <c r="C229">
        <v>296</v>
      </c>
      <c r="D229" t="s">
        <v>12</v>
      </c>
      <c r="E229" t="s">
        <v>57</v>
      </c>
      <c r="F229">
        <f t="shared" si="3"/>
        <v>96274</v>
      </c>
    </row>
    <row r="230" spans="1:6" x14ac:dyDescent="0.35">
      <c r="A230" t="s">
        <v>294</v>
      </c>
      <c r="B230">
        <v>217.99</v>
      </c>
      <c r="C230">
        <v>775</v>
      </c>
      <c r="D230" t="s">
        <v>14</v>
      </c>
      <c r="E230" t="s">
        <v>295</v>
      </c>
      <c r="F230">
        <f t="shared" si="3"/>
        <v>168942.25</v>
      </c>
    </row>
    <row r="231" spans="1:6" x14ac:dyDescent="0.35">
      <c r="A231" t="s">
        <v>296</v>
      </c>
      <c r="B231">
        <v>868.83</v>
      </c>
      <c r="C231">
        <v>583</v>
      </c>
      <c r="D231" t="s">
        <v>12</v>
      </c>
      <c r="E231" t="s">
        <v>72</v>
      </c>
      <c r="F231">
        <f t="shared" si="3"/>
        <v>506527.89</v>
      </c>
    </row>
    <row r="232" spans="1:6" x14ac:dyDescent="0.35">
      <c r="A232" t="s">
        <v>297</v>
      </c>
      <c r="B232">
        <v>403.41</v>
      </c>
      <c r="C232">
        <v>425</v>
      </c>
      <c r="D232" t="s">
        <v>6</v>
      </c>
      <c r="E232" t="s">
        <v>96</v>
      </c>
      <c r="F232">
        <f t="shared" si="3"/>
        <v>171449.25</v>
      </c>
    </row>
    <row r="233" spans="1:6" x14ac:dyDescent="0.35">
      <c r="A233" t="s">
        <v>298</v>
      </c>
      <c r="B233">
        <v>648.97</v>
      </c>
      <c r="C233">
        <v>346</v>
      </c>
      <c r="D233" t="s">
        <v>6</v>
      </c>
      <c r="E233" t="s">
        <v>66</v>
      </c>
      <c r="F233">
        <f t="shared" si="3"/>
        <v>224543.62</v>
      </c>
    </row>
    <row r="234" spans="1:6" x14ac:dyDescent="0.35">
      <c r="A234" t="s">
        <v>299</v>
      </c>
      <c r="B234">
        <v>919.76</v>
      </c>
      <c r="C234">
        <v>775</v>
      </c>
      <c r="D234" t="s">
        <v>6</v>
      </c>
      <c r="E234" t="s">
        <v>66</v>
      </c>
      <c r="F234">
        <f t="shared" si="3"/>
        <v>712814</v>
      </c>
    </row>
    <row r="235" spans="1:6" x14ac:dyDescent="0.35">
      <c r="A235" t="s">
        <v>300</v>
      </c>
      <c r="B235">
        <v>135.83000000000001</v>
      </c>
      <c r="C235">
        <v>788</v>
      </c>
      <c r="D235" t="s">
        <v>9</v>
      </c>
      <c r="E235" t="s">
        <v>163</v>
      </c>
      <c r="F235">
        <f t="shared" si="3"/>
        <v>107034.04000000001</v>
      </c>
    </row>
    <row r="236" spans="1:6" x14ac:dyDescent="0.35">
      <c r="A236" t="s">
        <v>301</v>
      </c>
      <c r="B236">
        <v>261.08</v>
      </c>
      <c r="C236">
        <v>23</v>
      </c>
      <c r="D236" t="s">
        <v>9</v>
      </c>
      <c r="E236" t="s">
        <v>57</v>
      </c>
      <c r="F236">
        <f t="shared" si="3"/>
        <v>6004.8399999999992</v>
      </c>
    </row>
    <row r="237" spans="1:6" x14ac:dyDescent="0.35">
      <c r="A237" t="s">
        <v>302</v>
      </c>
      <c r="B237">
        <v>252.27</v>
      </c>
      <c r="C237">
        <v>566</v>
      </c>
      <c r="D237" t="s">
        <v>12</v>
      </c>
      <c r="E237" t="s">
        <v>42</v>
      </c>
      <c r="F237">
        <f t="shared" si="3"/>
        <v>142784.82</v>
      </c>
    </row>
    <row r="238" spans="1:6" x14ac:dyDescent="0.35">
      <c r="A238" t="s">
        <v>281</v>
      </c>
      <c r="B238">
        <v>252.36</v>
      </c>
      <c r="C238">
        <v>206</v>
      </c>
      <c r="D238" t="s">
        <v>6</v>
      </c>
      <c r="E238" t="s">
        <v>282</v>
      </c>
      <c r="F238">
        <f t="shared" si="3"/>
        <v>51986.16</v>
      </c>
    </row>
    <row r="239" spans="1:6" x14ac:dyDescent="0.35">
      <c r="A239" t="s">
        <v>196</v>
      </c>
      <c r="B239">
        <v>352.82</v>
      </c>
      <c r="C239">
        <v>414</v>
      </c>
      <c r="D239" t="s">
        <v>12</v>
      </c>
      <c r="E239" t="s">
        <v>72</v>
      </c>
      <c r="F239">
        <f t="shared" si="3"/>
        <v>146067.48000000001</v>
      </c>
    </row>
    <row r="240" spans="1:6" x14ac:dyDescent="0.35">
      <c r="A240" t="s">
        <v>300</v>
      </c>
      <c r="B240">
        <v>844.58</v>
      </c>
      <c r="C240">
        <v>580</v>
      </c>
      <c r="D240" t="s">
        <v>6</v>
      </c>
      <c r="E240" t="s">
        <v>163</v>
      </c>
      <c r="F240">
        <f t="shared" si="3"/>
        <v>489856.4</v>
      </c>
    </row>
    <row r="241" spans="1:6" x14ac:dyDescent="0.35">
      <c r="A241" t="s">
        <v>303</v>
      </c>
      <c r="B241">
        <v>642.04</v>
      </c>
      <c r="C241">
        <v>183</v>
      </c>
      <c r="D241" t="s">
        <v>14</v>
      </c>
      <c r="E241" t="s">
        <v>295</v>
      </c>
      <c r="F241">
        <f t="shared" si="3"/>
        <v>117493.31999999999</v>
      </c>
    </row>
    <row r="242" spans="1:6" x14ac:dyDescent="0.35">
      <c r="A242" t="s">
        <v>304</v>
      </c>
      <c r="B242">
        <v>252.77</v>
      </c>
      <c r="C242">
        <v>560</v>
      </c>
      <c r="D242" t="s">
        <v>12</v>
      </c>
      <c r="E242" t="s">
        <v>33</v>
      </c>
      <c r="F242">
        <f t="shared" si="3"/>
        <v>141551.20000000001</v>
      </c>
    </row>
    <row r="243" spans="1:6" x14ac:dyDescent="0.35">
      <c r="A243" t="s">
        <v>305</v>
      </c>
      <c r="B243">
        <v>843.64</v>
      </c>
      <c r="C243">
        <v>971</v>
      </c>
      <c r="D243" t="s">
        <v>6</v>
      </c>
      <c r="E243" t="s">
        <v>27</v>
      </c>
      <c r="F243">
        <f t="shared" si="3"/>
        <v>819174.44</v>
      </c>
    </row>
    <row r="244" spans="1:6" x14ac:dyDescent="0.35">
      <c r="A244" t="s">
        <v>306</v>
      </c>
      <c r="B244">
        <v>29.88</v>
      </c>
      <c r="C244">
        <v>738</v>
      </c>
      <c r="D244" t="s">
        <v>14</v>
      </c>
      <c r="E244" t="s">
        <v>25</v>
      </c>
      <c r="F244">
        <f t="shared" si="3"/>
        <v>22051.439999999999</v>
      </c>
    </row>
    <row r="245" spans="1:6" x14ac:dyDescent="0.35">
      <c r="A245" t="s">
        <v>307</v>
      </c>
      <c r="B245">
        <v>532.69000000000005</v>
      </c>
      <c r="C245">
        <v>426</v>
      </c>
      <c r="D245" t="s">
        <v>6</v>
      </c>
      <c r="E245" t="s">
        <v>308</v>
      </c>
      <c r="F245">
        <f t="shared" si="3"/>
        <v>226925.94000000003</v>
      </c>
    </row>
    <row r="246" spans="1:6" x14ac:dyDescent="0.35">
      <c r="A246" t="s">
        <v>192</v>
      </c>
      <c r="B246">
        <v>823.3</v>
      </c>
      <c r="C246">
        <v>122</v>
      </c>
      <c r="D246" t="s">
        <v>9</v>
      </c>
      <c r="E246" t="s">
        <v>193</v>
      </c>
      <c r="F246">
        <f t="shared" si="3"/>
        <v>100442.59999999999</v>
      </c>
    </row>
    <row r="247" spans="1:6" x14ac:dyDescent="0.35">
      <c r="A247" t="s">
        <v>309</v>
      </c>
      <c r="B247">
        <v>494.85</v>
      </c>
      <c r="C247">
        <v>149</v>
      </c>
      <c r="D247" t="s">
        <v>17</v>
      </c>
      <c r="E247" t="s">
        <v>88</v>
      </c>
      <c r="F247">
        <f t="shared" si="3"/>
        <v>73732.650000000009</v>
      </c>
    </row>
    <row r="248" spans="1:6" x14ac:dyDescent="0.35">
      <c r="A248" t="s">
        <v>310</v>
      </c>
      <c r="B248">
        <v>168.28</v>
      </c>
      <c r="C248">
        <v>95</v>
      </c>
      <c r="D248" t="s">
        <v>9</v>
      </c>
      <c r="E248" t="s">
        <v>311</v>
      </c>
      <c r="F248">
        <f t="shared" si="3"/>
        <v>15986.6</v>
      </c>
    </row>
    <row r="249" spans="1:6" x14ac:dyDescent="0.35">
      <c r="A249" t="s">
        <v>312</v>
      </c>
      <c r="B249">
        <v>409.1</v>
      </c>
      <c r="C249">
        <v>495</v>
      </c>
      <c r="D249" t="s">
        <v>14</v>
      </c>
      <c r="E249" t="s">
        <v>33</v>
      </c>
      <c r="F249">
        <f t="shared" si="3"/>
        <v>202504.5</v>
      </c>
    </row>
    <row r="250" spans="1:6" x14ac:dyDescent="0.35">
      <c r="A250" t="s">
        <v>313</v>
      </c>
      <c r="B250">
        <v>520.86</v>
      </c>
      <c r="C250">
        <v>778</v>
      </c>
      <c r="D250" t="s">
        <v>9</v>
      </c>
      <c r="E250" t="s">
        <v>7</v>
      </c>
      <c r="F250">
        <f t="shared" si="3"/>
        <v>405229.08</v>
      </c>
    </row>
    <row r="251" spans="1:6" x14ac:dyDescent="0.35">
      <c r="A251" t="s">
        <v>314</v>
      </c>
      <c r="B251">
        <v>952.49</v>
      </c>
      <c r="C251">
        <v>727</v>
      </c>
      <c r="D251" t="s">
        <v>14</v>
      </c>
      <c r="E251" t="s">
        <v>85</v>
      </c>
      <c r="F251">
        <f t="shared" si="3"/>
        <v>692460.23</v>
      </c>
    </row>
    <row r="252" spans="1:6" x14ac:dyDescent="0.35">
      <c r="A252" t="s">
        <v>315</v>
      </c>
      <c r="B252">
        <v>836.08</v>
      </c>
      <c r="C252">
        <v>977</v>
      </c>
      <c r="D252" t="s">
        <v>12</v>
      </c>
      <c r="E252" t="s">
        <v>44</v>
      </c>
      <c r="F252">
        <f t="shared" si="3"/>
        <v>816850.16</v>
      </c>
    </row>
    <row r="253" spans="1:6" x14ac:dyDescent="0.35">
      <c r="A253" t="s">
        <v>316</v>
      </c>
      <c r="B253">
        <v>175.92</v>
      </c>
      <c r="C253">
        <v>397</v>
      </c>
      <c r="D253" t="s">
        <v>14</v>
      </c>
      <c r="E253" t="s">
        <v>57</v>
      </c>
      <c r="F253">
        <f t="shared" si="3"/>
        <v>69840.239999999991</v>
      </c>
    </row>
    <row r="254" spans="1:6" x14ac:dyDescent="0.35">
      <c r="A254" t="s">
        <v>317</v>
      </c>
      <c r="B254">
        <v>987.36</v>
      </c>
      <c r="C254">
        <v>99</v>
      </c>
      <c r="D254" t="s">
        <v>6</v>
      </c>
      <c r="E254" t="s">
        <v>44</v>
      </c>
      <c r="F254">
        <f t="shared" si="3"/>
        <v>97748.64</v>
      </c>
    </row>
    <row r="255" spans="1:6" x14ac:dyDescent="0.35">
      <c r="A255" t="s">
        <v>318</v>
      </c>
      <c r="B255">
        <v>97.67</v>
      </c>
      <c r="C255">
        <v>258</v>
      </c>
      <c r="D255" t="s">
        <v>9</v>
      </c>
      <c r="E255" t="s">
        <v>118</v>
      </c>
      <c r="F255">
        <f t="shared" si="3"/>
        <v>25198.86</v>
      </c>
    </row>
    <row r="256" spans="1:6" x14ac:dyDescent="0.35">
      <c r="A256" t="s">
        <v>319</v>
      </c>
      <c r="B256">
        <v>87.05</v>
      </c>
      <c r="C256">
        <v>392</v>
      </c>
      <c r="D256" t="s">
        <v>14</v>
      </c>
      <c r="E256" t="s">
        <v>320</v>
      </c>
      <c r="F256">
        <f t="shared" si="3"/>
        <v>34123.599999999999</v>
      </c>
    </row>
    <row r="257" spans="1:6" x14ac:dyDescent="0.35">
      <c r="A257" t="s">
        <v>195</v>
      </c>
      <c r="B257">
        <v>645.27</v>
      </c>
      <c r="C257">
        <v>613</v>
      </c>
      <c r="D257" t="s">
        <v>6</v>
      </c>
      <c r="E257" t="s">
        <v>96</v>
      </c>
      <c r="F257">
        <f t="shared" si="3"/>
        <v>395550.51</v>
      </c>
    </row>
    <row r="258" spans="1:6" x14ac:dyDescent="0.35">
      <c r="A258" t="s">
        <v>321</v>
      </c>
      <c r="B258">
        <v>445.18</v>
      </c>
      <c r="C258">
        <v>782</v>
      </c>
      <c r="D258" t="s">
        <v>17</v>
      </c>
      <c r="E258" t="s">
        <v>29</v>
      </c>
      <c r="F258">
        <f t="shared" si="3"/>
        <v>348130.76</v>
      </c>
    </row>
    <row r="259" spans="1:6" x14ac:dyDescent="0.35">
      <c r="A259" t="s">
        <v>322</v>
      </c>
      <c r="B259">
        <v>238.73</v>
      </c>
      <c r="C259">
        <v>448</v>
      </c>
      <c r="D259" t="s">
        <v>14</v>
      </c>
      <c r="E259" t="s">
        <v>323</v>
      </c>
      <c r="F259">
        <f t="shared" ref="F259:F322" si="4">B259*C259</f>
        <v>106951.03999999999</v>
      </c>
    </row>
    <row r="260" spans="1:6" x14ac:dyDescent="0.35">
      <c r="A260" t="s">
        <v>324</v>
      </c>
      <c r="B260">
        <v>525.13</v>
      </c>
      <c r="C260">
        <v>873</v>
      </c>
      <c r="D260" t="s">
        <v>14</v>
      </c>
      <c r="E260" t="s">
        <v>290</v>
      </c>
      <c r="F260">
        <f t="shared" si="4"/>
        <v>458438.49</v>
      </c>
    </row>
    <row r="261" spans="1:6" x14ac:dyDescent="0.35">
      <c r="A261" t="s">
        <v>325</v>
      </c>
      <c r="B261">
        <v>170.1</v>
      </c>
      <c r="C261">
        <v>247</v>
      </c>
      <c r="D261" t="s">
        <v>9</v>
      </c>
      <c r="E261" t="s">
        <v>326</v>
      </c>
      <c r="F261">
        <f t="shared" si="4"/>
        <v>42014.7</v>
      </c>
    </row>
    <row r="262" spans="1:6" x14ac:dyDescent="0.35">
      <c r="A262" t="s">
        <v>327</v>
      </c>
      <c r="B262">
        <v>306.83999999999997</v>
      </c>
      <c r="C262">
        <v>624</v>
      </c>
      <c r="D262" t="s">
        <v>12</v>
      </c>
      <c r="E262" t="s">
        <v>33</v>
      </c>
      <c r="F262">
        <f t="shared" si="4"/>
        <v>191468.15999999997</v>
      </c>
    </row>
    <row r="263" spans="1:6" x14ac:dyDescent="0.35">
      <c r="A263" t="s">
        <v>328</v>
      </c>
      <c r="B263">
        <v>712.5</v>
      </c>
      <c r="C263">
        <v>507</v>
      </c>
      <c r="D263" t="s">
        <v>9</v>
      </c>
      <c r="E263" t="s">
        <v>72</v>
      </c>
      <c r="F263">
        <f t="shared" si="4"/>
        <v>361237.5</v>
      </c>
    </row>
    <row r="264" spans="1:6" x14ac:dyDescent="0.35">
      <c r="A264" t="s">
        <v>329</v>
      </c>
      <c r="B264">
        <v>39.79</v>
      </c>
      <c r="C264">
        <v>786</v>
      </c>
      <c r="D264" t="s">
        <v>17</v>
      </c>
      <c r="E264" t="s">
        <v>88</v>
      </c>
      <c r="F264">
        <f t="shared" si="4"/>
        <v>31274.94</v>
      </c>
    </row>
    <row r="265" spans="1:6" x14ac:dyDescent="0.35">
      <c r="A265" t="s">
        <v>330</v>
      </c>
      <c r="B265">
        <v>268.22000000000003</v>
      </c>
      <c r="C265">
        <v>612</v>
      </c>
      <c r="D265" t="s">
        <v>12</v>
      </c>
      <c r="E265" t="s">
        <v>69</v>
      </c>
      <c r="F265">
        <f t="shared" si="4"/>
        <v>164150.64000000001</v>
      </c>
    </row>
    <row r="266" spans="1:6" x14ac:dyDescent="0.35">
      <c r="A266" t="s">
        <v>226</v>
      </c>
      <c r="B266">
        <v>809.67</v>
      </c>
      <c r="C266">
        <v>346</v>
      </c>
      <c r="D266" t="s">
        <v>9</v>
      </c>
      <c r="E266" t="s">
        <v>72</v>
      </c>
      <c r="F266">
        <f t="shared" si="4"/>
        <v>280145.82</v>
      </c>
    </row>
    <row r="267" spans="1:6" x14ac:dyDescent="0.35">
      <c r="A267" t="s">
        <v>331</v>
      </c>
      <c r="B267">
        <v>467.64</v>
      </c>
      <c r="C267">
        <v>447</v>
      </c>
      <c r="D267" t="s">
        <v>6</v>
      </c>
      <c r="E267" t="s">
        <v>168</v>
      </c>
      <c r="F267">
        <f t="shared" si="4"/>
        <v>209035.08</v>
      </c>
    </row>
    <row r="268" spans="1:6" x14ac:dyDescent="0.35">
      <c r="A268" t="s">
        <v>332</v>
      </c>
      <c r="B268">
        <v>641.1</v>
      </c>
      <c r="C268">
        <v>340</v>
      </c>
      <c r="D268" t="s">
        <v>17</v>
      </c>
      <c r="E268" t="s">
        <v>118</v>
      </c>
      <c r="F268">
        <f t="shared" si="4"/>
        <v>217974</v>
      </c>
    </row>
    <row r="269" spans="1:6" x14ac:dyDescent="0.35">
      <c r="A269" t="s">
        <v>333</v>
      </c>
      <c r="B269">
        <v>275.04000000000002</v>
      </c>
      <c r="C269">
        <v>192</v>
      </c>
      <c r="D269" t="s">
        <v>12</v>
      </c>
      <c r="E269" t="s">
        <v>81</v>
      </c>
      <c r="F269">
        <f t="shared" si="4"/>
        <v>52807.680000000008</v>
      </c>
    </row>
    <row r="270" spans="1:6" x14ac:dyDescent="0.35">
      <c r="A270" t="s">
        <v>334</v>
      </c>
      <c r="B270">
        <v>229.14</v>
      </c>
      <c r="C270">
        <v>588</v>
      </c>
      <c r="D270" t="s">
        <v>17</v>
      </c>
      <c r="E270" t="s">
        <v>44</v>
      </c>
      <c r="F270">
        <f t="shared" si="4"/>
        <v>134734.31999999998</v>
      </c>
    </row>
    <row r="271" spans="1:6" x14ac:dyDescent="0.35">
      <c r="A271" t="s">
        <v>229</v>
      </c>
      <c r="B271">
        <v>93.01</v>
      </c>
      <c r="C271">
        <v>829</v>
      </c>
      <c r="D271" t="s">
        <v>14</v>
      </c>
      <c r="E271" t="s">
        <v>230</v>
      </c>
      <c r="F271">
        <f t="shared" si="4"/>
        <v>77105.290000000008</v>
      </c>
    </row>
    <row r="272" spans="1:6" x14ac:dyDescent="0.35">
      <c r="A272" t="s">
        <v>335</v>
      </c>
      <c r="B272">
        <v>261.86</v>
      </c>
      <c r="C272">
        <v>955</v>
      </c>
      <c r="D272" t="s">
        <v>17</v>
      </c>
      <c r="E272" t="s">
        <v>7</v>
      </c>
      <c r="F272">
        <f t="shared" si="4"/>
        <v>250076.30000000002</v>
      </c>
    </row>
    <row r="273" spans="1:6" x14ac:dyDescent="0.35">
      <c r="A273" t="s">
        <v>336</v>
      </c>
      <c r="B273">
        <v>400.13</v>
      </c>
      <c r="C273">
        <v>492</v>
      </c>
      <c r="D273" t="s">
        <v>12</v>
      </c>
      <c r="E273" t="s">
        <v>168</v>
      </c>
      <c r="F273">
        <f t="shared" si="4"/>
        <v>196863.96</v>
      </c>
    </row>
    <row r="274" spans="1:6" x14ac:dyDescent="0.35">
      <c r="A274" t="s">
        <v>264</v>
      </c>
      <c r="B274">
        <v>535.07000000000005</v>
      </c>
      <c r="C274">
        <v>880</v>
      </c>
      <c r="D274" t="s">
        <v>12</v>
      </c>
      <c r="E274" t="s">
        <v>72</v>
      </c>
      <c r="F274">
        <f t="shared" si="4"/>
        <v>470861.60000000003</v>
      </c>
    </row>
    <row r="275" spans="1:6" x14ac:dyDescent="0.35">
      <c r="A275" t="s">
        <v>337</v>
      </c>
      <c r="B275">
        <v>844.26</v>
      </c>
      <c r="C275">
        <v>689</v>
      </c>
      <c r="D275" t="s">
        <v>6</v>
      </c>
      <c r="E275" t="s">
        <v>118</v>
      </c>
      <c r="F275">
        <f t="shared" si="4"/>
        <v>581695.14</v>
      </c>
    </row>
    <row r="276" spans="1:6" x14ac:dyDescent="0.35">
      <c r="A276" t="s">
        <v>338</v>
      </c>
      <c r="B276">
        <v>627.87</v>
      </c>
      <c r="C276">
        <v>798</v>
      </c>
      <c r="D276" t="s">
        <v>9</v>
      </c>
      <c r="E276" t="s">
        <v>7</v>
      </c>
      <c r="F276">
        <f t="shared" si="4"/>
        <v>501040.26</v>
      </c>
    </row>
    <row r="277" spans="1:6" x14ac:dyDescent="0.35">
      <c r="A277" t="s">
        <v>339</v>
      </c>
      <c r="B277">
        <v>981.96</v>
      </c>
      <c r="C277">
        <v>3</v>
      </c>
      <c r="D277" t="s">
        <v>14</v>
      </c>
      <c r="E277" t="s">
        <v>38</v>
      </c>
      <c r="F277">
        <f t="shared" si="4"/>
        <v>2945.88</v>
      </c>
    </row>
    <row r="278" spans="1:6" x14ac:dyDescent="0.35">
      <c r="A278" t="s">
        <v>340</v>
      </c>
      <c r="B278">
        <v>440.81</v>
      </c>
      <c r="C278">
        <v>777</v>
      </c>
      <c r="D278" t="s">
        <v>14</v>
      </c>
      <c r="E278" t="s">
        <v>72</v>
      </c>
      <c r="F278">
        <f t="shared" si="4"/>
        <v>342509.37</v>
      </c>
    </row>
    <row r="279" spans="1:6" x14ac:dyDescent="0.35">
      <c r="A279" t="s">
        <v>341</v>
      </c>
      <c r="B279">
        <v>215.86</v>
      </c>
      <c r="C279">
        <v>129</v>
      </c>
      <c r="D279" t="s">
        <v>17</v>
      </c>
      <c r="E279" t="s">
        <v>295</v>
      </c>
      <c r="F279">
        <f t="shared" si="4"/>
        <v>27845.940000000002</v>
      </c>
    </row>
    <row r="280" spans="1:6" x14ac:dyDescent="0.35">
      <c r="A280" t="s">
        <v>119</v>
      </c>
      <c r="B280">
        <v>559.35</v>
      </c>
      <c r="C280">
        <v>154</v>
      </c>
      <c r="D280" t="s">
        <v>14</v>
      </c>
      <c r="E280" t="s">
        <v>7</v>
      </c>
      <c r="F280">
        <f t="shared" si="4"/>
        <v>86139.900000000009</v>
      </c>
    </row>
    <row r="281" spans="1:6" x14ac:dyDescent="0.35">
      <c r="A281" t="s">
        <v>342</v>
      </c>
      <c r="B281">
        <v>95.6</v>
      </c>
      <c r="C281">
        <v>31</v>
      </c>
      <c r="D281" t="s">
        <v>17</v>
      </c>
      <c r="E281" t="s">
        <v>66</v>
      </c>
      <c r="F281">
        <f t="shared" si="4"/>
        <v>2963.6</v>
      </c>
    </row>
    <row r="282" spans="1:6" x14ac:dyDescent="0.35">
      <c r="A282" t="s">
        <v>343</v>
      </c>
      <c r="B282">
        <v>962.93</v>
      </c>
      <c r="C282">
        <v>264</v>
      </c>
      <c r="D282" t="s">
        <v>12</v>
      </c>
      <c r="E282" t="s">
        <v>72</v>
      </c>
      <c r="F282">
        <f t="shared" si="4"/>
        <v>254213.52</v>
      </c>
    </row>
    <row r="283" spans="1:6" x14ac:dyDescent="0.35">
      <c r="A283" t="s">
        <v>344</v>
      </c>
      <c r="B283">
        <v>460.86</v>
      </c>
      <c r="C283">
        <v>47</v>
      </c>
      <c r="D283" t="s">
        <v>6</v>
      </c>
      <c r="E283" t="s">
        <v>20</v>
      </c>
      <c r="F283">
        <f t="shared" si="4"/>
        <v>21660.420000000002</v>
      </c>
    </row>
    <row r="284" spans="1:6" x14ac:dyDescent="0.35">
      <c r="A284" t="s">
        <v>13</v>
      </c>
      <c r="B284">
        <v>105.46</v>
      </c>
      <c r="C284">
        <v>843</v>
      </c>
      <c r="D284" t="s">
        <v>6</v>
      </c>
      <c r="E284" t="s">
        <v>15</v>
      </c>
      <c r="F284">
        <f t="shared" si="4"/>
        <v>88902.78</v>
      </c>
    </row>
    <row r="285" spans="1:6" x14ac:dyDescent="0.35">
      <c r="A285" t="s">
        <v>345</v>
      </c>
      <c r="B285">
        <v>306.79000000000002</v>
      </c>
      <c r="C285">
        <v>74</v>
      </c>
      <c r="D285" t="s">
        <v>6</v>
      </c>
      <c r="E285" t="s">
        <v>48</v>
      </c>
      <c r="F285">
        <f t="shared" si="4"/>
        <v>22702.460000000003</v>
      </c>
    </row>
    <row r="286" spans="1:6" x14ac:dyDescent="0.35">
      <c r="A286" t="s">
        <v>346</v>
      </c>
      <c r="B286">
        <v>384.28</v>
      </c>
      <c r="C286">
        <v>780</v>
      </c>
      <c r="D286" t="s">
        <v>6</v>
      </c>
      <c r="E286" t="s">
        <v>44</v>
      </c>
      <c r="F286">
        <f t="shared" si="4"/>
        <v>299738.39999999997</v>
      </c>
    </row>
    <row r="287" spans="1:6" x14ac:dyDescent="0.35">
      <c r="A287" t="s">
        <v>347</v>
      </c>
      <c r="B287">
        <v>97.23</v>
      </c>
      <c r="C287">
        <v>84</v>
      </c>
      <c r="D287" t="s">
        <v>6</v>
      </c>
      <c r="E287" t="s">
        <v>96</v>
      </c>
      <c r="F287">
        <f t="shared" si="4"/>
        <v>8167.3200000000006</v>
      </c>
    </row>
    <row r="288" spans="1:6" x14ac:dyDescent="0.35">
      <c r="A288" t="s">
        <v>348</v>
      </c>
      <c r="B288">
        <v>268.93</v>
      </c>
      <c r="C288">
        <v>802</v>
      </c>
      <c r="D288" t="s">
        <v>6</v>
      </c>
      <c r="E288" t="s">
        <v>349</v>
      </c>
      <c r="F288">
        <f t="shared" si="4"/>
        <v>215681.86000000002</v>
      </c>
    </row>
    <row r="289" spans="1:6" x14ac:dyDescent="0.35">
      <c r="A289" t="s">
        <v>350</v>
      </c>
      <c r="B289">
        <v>213.62</v>
      </c>
      <c r="C289">
        <v>903</v>
      </c>
      <c r="D289" t="s">
        <v>14</v>
      </c>
      <c r="E289" t="s">
        <v>7</v>
      </c>
      <c r="F289">
        <f t="shared" si="4"/>
        <v>192898.86000000002</v>
      </c>
    </row>
    <row r="290" spans="1:6" x14ac:dyDescent="0.35">
      <c r="A290" t="s">
        <v>201</v>
      </c>
      <c r="B290">
        <v>416.12</v>
      </c>
      <c r="C290">
        <v>7</v>
      </c>
      <c r="D290" t="s">
        <v>14</v>
      </c>
      <c r="E290" t="s">
        <v>191</v>
      </c>
      <c r="F290">
        <f t="shared" si="4"/>
        <v>2912.84</v>
      </c>
    </row>
    <row r="291" spans="1:6" x14ac:dyDescent="0.35">
      <c r="A291" t="s">
        <v>351</v>
      </c>
      <c r="B291">
        <v>787.69</v>
      </c>
      <c r="C291">
        <v>692</v>
      </c>
      <c r="D291" t="s">
        <v>17</v>
      </c>
      <c r="E291" t="s">
        <v>10</v>
      </c>
      <c r="F291">
        <f t="shared" si="4"/>
        <v>545081.48</v>
      </c>
    </row>
    <row r="292" spans="1:6" x14ac:dyDescent="0.35">
      <c r="A292" t="s">
        <v>352</v>
      </c>
      <c r="B292">
        <v>913.73</v>
      </c>
      <c r="C292">
        <v>724</v>
      </c>
      <c r="D292" t="s">
        <v>12</v>
      </c>
      <c r="E292" t="s">
        <v>72</v>
      </c>
      <c r="F292">
        <f t="shared" si="4"/>
        <v>661540.52</v>
      </c>
    </row>
    <row r="293" spans="1:6" x14ac:dyDescent="0.35">
      <c r="A293" t="s">
        <v>353</v>
      </c>
      <c r="B293">
        <v>487.93</v>
      </c>
      <c r="C293">
        <v>720</v>
      </c>
      <c r="D293" t="s">
        <v>6</v>
      </c>
      <c r="E293" t="s">
        <v>57</v>
      </c>
      <c r="F293">
        <f t="shared" si="4"/>
        <v>351309.6</v>
      </c>
    </row>
    <row r="294" spans="1:6" x14ac:dyDescent="0.35">
      <c r="A294" t="s">
        <v>354</v>
      </c>
      <c r="B294">
        <v>467.41</v>
      </c>
      <c r="C294">
        <v>856</v>
      </c>
      <c r="D294" t="s">
        <v>6</v>
      </c>
      <c r="E294" t="s">
        <v>10</v>
      </c>
      <c r="F294">
        <f t="shared" si="4"/>
        <v>400102.96</v>
      </c>
    </row>
    <row r="295" spans="1:6" x14ac:dyDescent="0.35">
      <c r="A295" t="s">
        <v>355</v>
      </c>
      <c r="B295">
        <v>878.49</v>
      </c>
      <c r="C295">
        <v>374</v>
      </c>
      <c r="D295" t="s">
        <v>14</v>
      </c>
      <c r="E295" t="s">
        <v>42</v>
      </c>
      <c r="F295">
        <f t="shared" si="4"/>
        <v>328555.26</v>
      </c>
    </row>
    <row r="296" spans="1:6" x14ac:dyDescent="0.35">
      <c r="A296" t="s">
        <v>356</v>
      </c>
      <c r="B296">
        <v>10.31</v>
      </c>
      <c r="C296">
        <v>425</v>
      </c>
      <c r="D296" t="s">
        <v>6</v>
      </c>
      <c r="E296" t="s">
        <v>155</v>
      </c>
      <c r="F296">
        <f t="shared" si="4"/>
        <v>4381.75</v>
      </c>
    </row>
    <row r="297" spans="1:6" x14ac:dyDescent="0.35">
      <c r="A297" t="s">
        <v>357</v>
      </c>
      <c r="B297">
        <v>483.43</v>
      </c>
      <c r="C297">
        <v>804</v>
      </c>
      <c r="D297" t="s">
        <v>9</v>
      </c>
      <c r="E297" t="s">
        <v>10</v>
      </c>
      <c r="F297">
        <f t="shared" si="4"/>
        <v>388677.72000000003</v>
      </c>
    </row>
    <row r="298" spans="1:6" x14ac:dyDescent="0.35">
      <c r="A298" t="s">
        <v>358</v>
      </c>
      <c r="B298">
        <v>446.72</v>
      </c>
      <c r="C298">
        <v>257</v>
      </c>
      <c r="D298" t="s">
        <v>14</v>
      </c>
      <c r="E298" t="s">
        <v>7</v>
      </c>
      <c r="F298">
        <f t="shared" si="4"/>
        <v>114807.04000000001</v>
      </c>
    </row>
    <row r="299" spans="1:6" x14ac:dyDescent="0.35">
      <c r="A299" t="s">
        <v>359</v>
      </c>
      <c r="B299">
        <v>530.83000000000004</v>
      </c>
      <c r="C299">
        <v>984</v>
      </c>
      <c r="D299" t="s">
        <v>17</v>
      </c>
      <c r="E299" t="s">
        <v>20</v>
      </c>
      <c r="F299">
        <f t="shared" si="4"/>
        <v>522336.72000000003</v>
      </c>
    </row>
    <row r="300" spans="1:6" x14ac:dyDescent="0.35">
      <c r="A300" t="s">
        <v>19</v>
      </c>
      <c r="B300">
        <v>285.02</v>
      </c>
      <c r="C300">
        <v>684</v>
      </c>
      <c r="D300" t="s">
        <v>6</v>
      </c>
      <c r="E300" t="s">
        <v>20</v>
      </c>
      <c r="F300">
        <f t="shared" si="4"/>
        <v>194953.68</v>
      </c>
    </row>
    <row r="301" spans="1:6" x14ac:dyDescent="0.35">
      <c r="A301" t="s">
        <v>360</v>
      </c>
      <c r="B301">
        <v>922.09</v>
      </c>
      <c r="C301">
        <v>172</v>
      </c>
      <c r="D301" t="s">
        <v>17</v>
      </c>
      <c r="E301" t="s">
        <v>191</v>
      </c>
      <c r="F301">
        <f t="shared" si="4"/>
        <v>158599.48000000001</v>
      </c>
    </row>
    <row r="302" spans="1:6" x14ac:dyDescent="0.35">
      <c r="A302" t="s">
        <v>361</v>
      </c>
      <c r="B302">
        <v>385.46</v>
      </c>
      <c r="C302">
        <v>535</v>
      </c>
      <c r="D302" t="s">
        <v>9</v>
      </c>
      <c r="E302" t="s">
        <v>295</v>
      </c>
      <c r="F302">
        <f t="shared" si="4"/>
        <v>206221.09999999998</v>
      </c>
    </row>
    <row r="303" spans="1:6" x14ac:dyDescent="0.35">
      <c r="A303" t="s">
        <v>362</v>
      </c>
      <c r="B303">
        <v>494.57</v>
      </c>
      <c r="C303">
        <v>440</v>
      </c>
      <c r="D303" t="s">
        <v>12</v>
      </c>
      <c r="E303" t="s">
        <v>222</v>
      </c>
      <c r="F303">
        <f t="shared" si="4"/>
        <v>217610.8</v>
      </c>
    </row>
    <row r="304" spans="1:6" x14ac:dyDescent="0.35">
      <c r="A304" t="s">
        <v>363</v>
      </c>
      <c r="B304">
        <v>549.15</v>
      </c>
      <c r="C304">
        <v>964</v>
      </c>
      <c r="D304" t="s">
        <v>6</v>
      </c>
      <c r="E304" t="s">
        <v>44</v>
      </c>
      <c r="F304">
        <f t="shared" si="4"/>
        <v>529380.6</v>
      </c>
    </row>
    <row r="305" spans="1:6" x14ac:dyDescent="0.35">
      <c r="A305" t="s">
        <v>364</v>
      </c>
      <c r="B305">
        <v>188.43</v>
      </c>
      <c r="C305">
        <v>261</v>
      </c>
      <c r="D305" t="s">
        <v>9</v>
      </c>
      <c r="E305" t="s">
        <v>23</v>
      </c>
      <c r="F305">
        <f t="shared" si="4"/>
        <v>49180.23</v>
      </c>
    </row>
    <row r="306" spans="1:6" x14ac:dyDescent="0.35">
      <c r="A306" t="s">
        <v>365</v>
      </c>
      <c r="B306">
        <v>448.06</v>
      </c>
      <c r="C306">
        <v>6</v>
      </c>
      <c r="D306" t="s">
        <v>9</v>
      </c>
      <c r="E306" t="s">
        <v>72</v>
      </c>
      <c r="F306">
        <f t="shared" si="4"/>
        <v>2688.36</v>
      </c>
    </row>
    <row r="307" spans="1:6" x14ac:dyDescent="0.35">
      <c r="A307" t="s">
        <v>366</v>
      </c>
      <c r="B307">
        <v>564.67999999999995</v>
      </c>
      <c r="C307">
        <v>864</v>
      </c>
      <c r="D307" t="s">
        <v>9</v>
      </c>
      <c r="E307" t="s">
        <v>236</v>
      </c>
      <c r="F307">
        <f t="shared" si="4"/>
        <v>487883.51999999996</v>
      </c>
    </row>
    <row r="308" spans="1:6" x14ac:dyDescent="0.35">
      <c r="A308" t="s">
        <v>367</v>
      </c>
      <c r="B308">
        <v>154.21</v>
      </c>
      <c r="C308">
        <v>579</v>
      </c>
      <c r="D308" t="s">
        <v>9</v>
      </c>
      <c r="E308" t="s">
        <v>96</v>
      </c>
      <c r="F308">
        <f t="shared" si="4"/>
        <v>89287.590000000011</v>
      </c>
    </row>
    <row r="309" spans="1:6" x14ac:dyDescent="0.35">
      <c r="A309" t="s">
        <v>368</v>
      </c>
      <c r="B309">
        <v>609.46</v>
      </c>
      <c r="C309">
        <v>69</v>
      </c>
      <c r="D309" t="s">
        <v>14</v>
      </c>
      <c r="E309" t="s">
        <v>112</v>
      </c>
      <c r="F309">
        <f t="shared" si="4"/>
        <v>42052.740000000005</v>
      </c>
    </row>
    <row r="310" spans="1:6" x14ac:dyDescent="0.35">
      <c r="A310" t="s">
        <v>369</v>
      </c>
      <c r="B310">
        <v>378.83</v>
      </c>
      <c r="C310">
        <v>109</v>
      </c>
      <c r="D310" t="s">
        <v>6</v>
      </c>
      <c r="E310" t="s">
        <v>10</v>
      </c>
      <c r="F310">
        <f t="shared" si="4"/>
        <v>41292.47</v>
      </c>
    </row>
    <row r="311" spans="1:6" x14ac:dyDescent="0.35">
      <c r="A311" t="s">
        <v>370</v>
      </c>
      <c r="B311">
        <v>524.88</v>
      </c>
      <c r="C311">
        <v>602</v>
      </c>
      <c r="D311" t="s">
        <v>6</v>
      </c>
      <c r="E311" t="s">
        <v>326</v>
      </c>
      <c r="F311">
        <f t="shared" si="4"/>
        <v>315977.76</v>
      </c>
    </row>
    <row r="312" spans="1:6" x14ac:dyDescent="0.35">
      <c r="A312" t="s">
        <v>371</v>
      </c>
      <c r="B312">
        <v>41.65</v>
      </c>
      <c r="C312">
        <v>332</v>
      </c>
      <c r="D312" t="s">
        <v>17</v>
      </c>
      <c r="E312" t="s">
        <v>372</v>
      </c>
      <c r="F312">
        <f t="shared" si="4"/>
        <v>13827.8</v>
      </c>
    </row>
    <row r="313" spans="1:6" x14ac:dyDescent="0.35">
      <c r="A313" t="s">
        <v>373</v>
      </c>
      <c r="B313">
        <v>499.88</v>
      </c>
      <c r="C313">
        <v>479</v>
      </c>
      <c r="D313" t="s">
        <v>6</v>
      </c>
      <c r="E313" t="s">
        <v>23</v>
      </c>
      <c r="F313">
        <f t="shared" si="4"/>
        <v>239442.52</v>
      </c>
    </row>
    <row r="314" spans="1:6" x14ac:dyDescent="0.35">
      <c r="A314" t="s">
        <v>111</v>
      </c>
      <c r="B314">
        <v>417.78</v>
      </c>
      <c r="C314">
        <v>362</v>
      </c>
      <c r="D314" t="s">
        <v>17</v>
      </c>
      <c r="E314" t="s">
        <v>112</v>
      </c>
      <c r="F314">
        <f t="shared" si="4"/>
        <v>151236.35999999999</v>
      </c>
    </row>
    <row r="315" spans="1:6" x14ac:dyDescent="0.35">
      <c r="A315" t="s">
        <v>374</v>
      </c>
      <c r="B315">
        <v>81.96</v>
      </c>
      <c r="C315">
        <v>191</v>
      </c>
      <c r="D315" t="s">
        <v>17</v>
      </c>
      <c r="E315" t="s">
        <v>72</v>
      </c>
      <c r="F315">
        <f t="shared" si="4"/>
        <v>15654.359999999999</v>
      </c>
    </row>
    <row r="316" spans="1:6" x14ac:dyDescent="0.35">
      <c r="A316" t="s">
        <v>375</v>
      </c>
      <c r="B316">
        <v>107.05</v>
      </c>
      <c r="C316">
        <v>851</v>
      </c>
      <c r="D316" t="s">
        <v>12</v>
      </c>
      <c r="E316" t="s">
        <v>15</v>
      </c>
      <c r="F316">
        <f t="shared" si="4"/>
        <v>91099.55</v>
      </c>
    </row>
    <row r="317" spans="1:6" x14ac:dyDescent="0.35">
      <c r="A317" t="s">
        <v>376</v>
      </c>
      <c r="B317">
        <v>27.31</v>
      </c>
      <c r="C317">
        <v>603</v>
      </c>
      <c r="D317" t="s">
        <v>17</v>
      </c>
      <c r="E317" t="s">
        <v>326</v>
      </c>
      <c r="F317">
        <f t="shared" si="4"/>
        <v>16467.93</v>
      </c>
    </row>
    <row r="318" spans="1:6" x14ac:dyDescent="0.35">
      <c r="A318" t="s">
        <v>377</v>
      </c>
      <c r="B318">
        <v>59.25</v>
      </c>
      <c r="C318">
        <v>22</v>
      </c>
      <c r="D318" t="s">
        <v>12</v>
      </c>
      <c r="E318" t="s">
        <v>72</v>
      </c>
      <c r="F318">
        <f t="shared" si="4"/>
        <v>1303.5</v>
      </c>
    </row>
    <row r="319" spans="1:6" x14ac:dyDescent="0.35">
      <c r="A319" t="s">
        <v>135</v>
      </c>
      <c r="B319">
        <v>212.69</v>
      </c>
      <c r="C319">
        <v>772</v>
      </c>
      <c r="D319" t="s">
        <v>6</v>
      </c>
      <c r="E319" t="s">
        <v>42</v>
      </c>
      <c r="F319">
        <f t="shared" si="4"/>
        <v>164196.68</v>
      </c>
    </row>
    <row r="320" spans="1:6" x14ac:dyDescent="0.35">
      <c r="A320" t="s">
        <v>378</v>
      </c>
      <c r="B320">
        <v>874.94</v>
      </c>
      <c r="C320">
        <v>299</v>
      </c>
      <c r="D320" t="s">
        <v>6</v>
      </c>
      <c r="E320" t="s">
        <v>10</v>
      </c>
      <c r="F320">
        <f t="shared" si="4"/>
        <v>261607.06000000003</v>
      </c>
    </row>
    <row r="321" spans="1:6" x14ac:dyDescent="0.35">
      <c r="A321" t="s">
        <v>342</v>
      </c>
      <c r="B321">
        <v>927.88</v>
      </c>
      <c r="C321">
        <v>15</v>
      </c>
      <c r="D321" t="s">
        <v>17</v>
      </c>
      <c r="E321" t="s">
        <v>66</v>
      </c>
      <c r="F321">
        <f t="shared" si="4"/>
        <v>13918.2</v>
      </c>
    </row>
    <row r="322" spans="1:6" x14ac:dyDescent="0.35">
      <c r="A322" t="s">
        <v>379</v>
      </c>
      <c r="B322">
        <v>377.55</v>
      </c>
      <c r="C322">
        <v>163</v>
      </c>
      <c r="D322" t="s">
        <v>6</v>
      </c>
      <c r="E322" t="s">
        <v>33</v>
      </c>
      <c r="F322">
        <f t="shared" si="4"/>
        <v>61540.65</v>
      </c>
    </row>
    <row r="323" spans="1:6" x14ac:dyDescent="0.35">
      <c r="A323" t="s">
        <v>380</v>
      </c>
      <c r="B323">
        <v>590.20000000000005</v>
      </c>
      <c r="C323">
        <v>756</v>
      </c>
      <c r="D323" t="s">
        <v>6</v>
      </c>
      <c r="E323" t="s">
        <v>126</v>
      </c>
      <c r="F323">
        <f t="shared" ref="F323:F386" si="5">B323*C323</f>
        <v>446191.2</v>
      </c>
    </row>
    <row r="324" spans="1:6" x14ac:dyDescent="0.35">
      <c r="A324" t="s">
        <v>381</v>
      </c>
      <c r="B324">
        <v>415.57</v>
      </c>
      <c r="C324">
        <v>689</v>
      </c>
      <c r="D324" t="s">
        <v>12</v>
      </c>
      <c r="E324" t="s">
        <v>112</v>
      </c>
      <c r="F324">
        <f t="shared" si="5"/>
        <v>286327.73</v>
      </c>
    </row>
    <row r="325" spans="1:6" x14ac:dyDescent="0.35">
      <c r="A325" t="s">
        <v>382</v>
      </c>
      <c r="B325">
        <v>279.18</v>
      </c>
      <c r="C325">
        <v>640</v>
      </c>
      <c r="D325" t="s">
        <v>9</v>
      </c>
      <c r="E325" t="s">
        <v>383</v>
      </c>
      <c r="F325">
        <f t="shared" si="5"/>
        <v>178675.20000000001</v>
      </c>
    </row>
    <row r="326" spans="1:6" x14ac:dyDescent="0.35">
      <c r="A326" t="s">
        <v>384</v>
      </c>
      <c r="B326">
        <v>942.31</v>
      </c>
      <c r="C326">
        <v>197</v>
      </c>
      <c r="D326" t="s">
        <v>6</v>
      </c>
      <c r="E326" t="s">
        <v>66</v>
      </c>
      <c r="F326">
        <f t="shared" si="5"/>
        <v>185635.06999999998</v>
      </c>
    </row>
    <row r="327" spans="1:6" x14ac:dyDescent="0.35">
      <c r="A327" t="s">
        <v>385</v>
      </c>
      <c r="B327">
        <v>281.02999999999997</v>
      </c>
      <c r="C327">
        <v>641</v>
      </c>
      <c r="D327" t="s">
        <v>17</v>
      </c>
      <c r="E327" t="s">
        <v>386</v>
      </c>
      <c r="F327">
        <f t="shared" si="5"/>
        <v>180140.22999999998</v>
      </c>
    </row>
    <row r="328" spans="1:6" x14ac:dyDescent="0.35">
      <c r="A328" t="s">
        <v>182</v>
      </c>
      <c r="B328">
        <v>496.89</v>
      </c>
      <c r="C328">
        <v>689</v>
      </c>
      <c r="D328" t="s">
        <v>14</v>
      </c>
      <c r="E328" t="s">
        <v>63</v>
      </c>
      <c r="F328">
        <f t="shared" si="5"/>
        <v>342357.20999999996</v>
      </c>
    </row>
    <row r="329" spans="1:6" x14ac:dyDescent="0.35">
      <c r="A329" t="s">
        <v>92</v>
      </c>
      <c r="B329">
        <v>581.36</v>
      </c>
      <c r="C329">
        <v>951</v>
      </c>
      <c r="D329" t="s">
        <v>12</v>
      </c>
      <c r="E329" t="s">
        <v>93</v>
      </c>
      <c r="F329">
        <f t="shared" si="5"/>
        <v>552873.36</v>
      </c>
    </row>
    <row r="330" spans="1:6" x14ac:dyDescent="0.35">
      <c r="A330" t="s">
        <v>387</v>
      </c>
      <c r="B330">
        <v>981.65</v>
      </c>
      <c r="C330">
        <v>839</v>
      </c>
      <c r="D330" t="s">
        <v>6</v>
      </c>
      <c r="E330" t="s">
        <v>108</v>
      </c>
      <c r="F330">
        <f t="shared" si="5"/>
        <v>823604.35</v>
      </c>
    </row>
    <row r="331" spans="1:6" x14ac:dyDescent="0.35">
      <c r="A331" t="s">
        <v>388</v>
      </c>
      <c r="B331">
        <v>674.62</v>
      </c>
      <c r="C331">
        <v>150</v>
      </c>
      <c r="D331" t="s">
        <v>6</v>
      </c>
      <c r="E331" t="s">
        <v>126</v>
      </c>
      <c r="F331">
        <f t="shared" si="5"/>
        <v>101193</v>
      </c>
    </row>
    <row r="332" spans="1:6" x14ac:dyDescent="0.35">
      <c r="A332" t="s">
        <v>389</v>
      </c>
      <c r="B332">
        <v>121.58</v>
      </c>
      <c r="C332">
        <v>432</v>
      </c>
      <c r="D332" t="s">
        <v>9</v>
      </c>
      <c r="E332" t="s">
        <v>44</v>
      </c>
      <c r="F332">
        <f t="shared" si="5"/>
        <v>52522.559999999998</v>
      </c>
    </row>
    <row r="333" spans="1:6" x14ac:dyDescent="0.35">
      <c r="A333" t="s">
        <v>91</v>
      </c>
      <c r="B333">
        <v>818.54</v>
      </c>
      <c r="C333">
        <v>129</v>
      </c>
      <c r="D333" t="s">
        <v>17</v>
      </c>
      <c r="E333" t="s">
        <v>44</v>
      </c>
      <c r="F333">
        <f t="shared" si="5"/>
        <v>105591.65999999999</v>
      </c>
    </row>
    <row r="334" spans="1:6" x14ac:dyDescent="0.35">
      <c r="A334" t="s">
        <v>390</v>
      </c>
      <c r="B334">
        <v>308.85000000000002</v>
      </c>
      <c r="C334">
        <v>23</v>
      </c>
      <c r="D334" t="s">
        <v>12</v>
      </c>
      <c r="E334" t="s">
        <v>42</v>
      </c>
      <c r="F334">
        <f t="shared" si="5"/>
        <v>7103.55</v>
      </c>
    </row>
    <row r="335" spans="1:6" x14ac:dyDescent="0.35">
      <c r="A335" t="s">
        <v>141</v>
      </c>
      <c r="B335">
        <v>574.71</v>
      </c>
      <c r="C335">
        <v>772</v>
      </c>
      <c r="D335" t="s">
        <v>9</v>
      </c>
      <c r="E335" t="s">
        <v>20</v>
      </c>
      <c r="F335">
        <f t="shared" si="5"/>
        <v>443676.12000000005</v>
      </c>
    </row>
    <row r="336" spans="1:6" x14ac:dyDescent="0.35">
      <c r="A336" t="s">
        <v>391</v>
      </c>
      <c r="B336">
        <v>632.57000000000005</v>
      </c>
      <c r="C336">
        <v>496</v>
      </c>
      <c r="D336" t="s">
        <v>17</v>
      </c>
      <c r="E336" t="s">
        <v>40</v>
      </c>
      <c r="F336">
        <f t="shared" si="5"/>
        <v>313754.72000000003</v>
      </c>
    </row>
    <row r="337" spans="1:6" x14ac:dyDescent="0.35">
      <c r="A337" t="s">
        <v>392</v>
      </c>
      <c r="B337">
        <v>463.43</v>
      </c>
      <c r="C337">
        <v>202</v>
      </c>
      <c r="D337" t="s">
        <v>14</v>
      </c>
      <c r="E337" t="s">
        <v>393</v>
      </c>
      <c r="F337">
        <f t="shared" si="5"/>
        <v>93612.86</v>
      </c>
    </row>
    <row r="338" spans="1:6" x14ac:dyDescent="0.35">
      <c r="A338" t="s">
        <v>394</v>
      </c>
      <c r="B338">
        <v>363.21</v>
      </c>
      <c r="C338">
        <v>727</v>
      </c>
      <c r="D338" t="s">
        <v>9</v>
      </c>
      <c r="E338" t="s">
        <v>72</v>
      </c>
      <c r="F338">
        <f t="shared" si="5"/>
        <v>264053.67</v>
      </c>
    </row>
    <row r="339" spans="1:6" x14ac:dyDescent="0.35">
      <c r="A339" t="s">
        <v>395</v>
      </c>
      <c r="B339">
        <v>934.06</v>
      </c>
      <c r="C339">
        <v>335</v>
      </c>
      <c r="D339" t="s">
        <v>12</v>
      </c>
      <c r="E339" t="s">
        <v>72</v>
      </c>
      <c r="F339">
        <f t="shared" si="5"/>
        <v>312910.09999999998</v>
      </c>
    </row>
    <row r="340" spans="1:6" x14ac:dyDescent="0.35">
      <c r="A340" t="s">
        <v>396</v>
      </c>
      <c r="B340">
        <v>885.43</v>
      </c>
      <c r="C340">
        <v>480</v>
      </c>
      <c r="D340" t="s">
        <v>17</v>
      </c>
      <c r="E340" t="s">
        <v>72</v>
      </c>
      <c r="F340">
        <f t="shared" si="5"/>
        <v>425006.39999999997</v>
      </c>
    </row>
    <row r="341" spans="1:6" x14ac:dyDescent="0.35">
      <c r="A341" t="s">
        <v>397</v>
      </c>
      <c r="B341">
        <v>192.36</v>
      </c>
      <c r="C341">
        <v>888</v>
      </c>
      <c r="D341" t="s">
        <v>12</v>
      </c>
      <c r="E341" t="s">
        <v>398</v>
      </c>
      <c r="F341">
        <f t="shared" si="5"/>
        <v>170815.68000000002</v>
      </c>
    </row>
    <row r="342" spans="1:6" x14ac:dyDescent="0.35">
      <c r="A342" t="s">
        <v>399</v>
      </c>
      <c r="B342">
        <v>507.85</v>
      </c>
      <c r="C342">
        <v>681</v>
      </c>
      <c r="D342" t="s">
        <v>17</v>
      </c>
      <c r="E342" t="s">
        <v>400</v>
      </c>
      <c r="F342">
        <f t="shared" si="5"/>
        <v>345845.85000000003</v>
      </c>
    </row>
    <row r="343" spans="1:6" x14ac:dyDescent="0.35">
      <c r="A343" t="s">
        <v>401</v>
      </c>
      <c r="B343">
        <v>571.99</v>
      </c>
      <c r="C343">
        <v>998</v>
      </c>
      <c r="D343" t="s">
        <v>17</v>
      </c>
      <c r="E343" t="s">
        <v>72</v>
      </c>
      <c r="F343">
        <f t="shared" si="5"/>
        <v>570846.02</v>
      </c>
    </row>
    <row r="344" spans="1:6" x14ac:dyDescent="0.35">
      <c r="A344" t="s">
        <v>402</v>
      </c>
      <c r="B344">
        <v>471.88</v>
      </c>
      <c r="C344">
        <v>92</v>
      </c>
      <c r="D344" t="s">
        <v>12</v>
      </c>
      <c r="E344" t="s">
        <v>155</v>
      </c>
      <c r="F344">
        <f t="shared" si="5"/>
        <v>43412.959999999999</v>
      </c>
    </row>
    <row r="345" spans="1:6" x14ac:dyDescent="0.35">
      <c r="A345" t="s">
        <v>403</v>
      </c>
      <c r="B345">
        <v>420.65</v>
      </c>
      <c r="C345">
        <v>94</v>
      </c>
      <c r="D345" t="s">
        <v>6</v>
      </c>
      <c r="E345" t="s">
        <v>112</v>
      </c>
      <c r="F345">
        <f t="shared" si="5"/>
        <v>39541.1</v>
      </c>
    </row>
    <row r="346" spans="1:6" x14ac:dyDescent="0.35">
      <c r="A346" t="s">
        <v>404</v>
      </c>
      <c r="B346">
        <v>691.85</v>
      </c>
      <c r="C346">
        <v>172</v>
      </c>
      <c r="D346" t="s">
        <v>9</v>
      </c>
      <c r="E346" t="s">
        <v>405</v>
      </c>
      <c r="F346">
        <f t="shared" si="5"/>
        <v>118998.2</v>
      </c>
    </row>
    <row r="347" spans="1:6" x14ac:dyDescent="0.35">
      <c r="A347" t="s">
        <v>406</v>
      </c>
      <c r="B347">
        <v>487.98</v>
      </c>
      <c r="C347">
        <v>696</v>
      </c>
      <c r="D347" t="s">
        <v>9</v>
      </c>
      <c r="E347" t="s">
        <v>44</v>
      </c>
      <c r="F347">
        <f t="shared" si="5"/>
        <v>339634.08</v>
      </c>
    </row>
    <row r="348" spans="1:6" x14ac:dyDescent="0.35">
      <c r="A348" t="s">
        <v>407</v>
      </c>
      <c r="B348">
        <v>378.51</v>
      </c>
      <c r="C348">
        <v>107</v>
      </c>
      <c r="D348" t="s">
        <v>17</v>
      </c>
      <c r="E348" t="s">
        <v>44</v>
      </c>
      <c r="F348">
        <f t="shared" si="5"/>
        <v>40500.57</v>
      </c>
    </row>
    <row r="349" spans="1:6" x14ac:dyDescent="0.35">
      <c r="A349" t="s">
        <v>408</v>
      </c>
      <c r="B349">
        <v>465.03</v>
      </c>
      <c r="C349">
        <v>480</v>
      </c>
      <c r="D349" t="s">
        <v>12</v>
      </c>
      <c r="E349" t="s">
        <v>72</v>
      </c>
      <c r="F349">
        <f t="shared" si="5"/>
        <v>223214.4</v>
      </c>
    </row>
    <row r="350" spans="1:6" x14ac:dyDescent="0.35">
      <c r="A350" t="s">
        <v>24</v>
      </c>
      <c r="B350">
        <v>124.26</v>
      </c>
      <c r="C350">
        <v>199</v>
      </c>
      <c r="D350" t="s">
        <v>6</v>
      </c>
      <c r="E350" t="s">
        <v>25</v>
      </c>
      <c r="F350">
        <f t="shared" si="5"/>
        <v>24727.74</v>
      </c>
    </row>
    <row r="351" spans="1:6" x14ac:dyDescent="0.35">
      <c r="A351" t="s">
        <v>409</v>
      </c>
      <c r="B351">
        <v>955.74</v>
      </c>
      <c r="C351">
        <v>600</v>
      </c>
      <c r="D351" t="s">
        <v>6</v>
      </c>
      <c r="E351" t="s">
        <v>7</v>
      </c>
      <c r="F351">
        <f t="shared" si="5"/>
        <v>573444</v>
      </c>
    </row>
    <row r="352" spans="1:6" x14ac:dyDescent="0.35">
      <c r="A352" t="s">
        <v>209</v>
      </c>
      <c r="B352">
        <v>748.72</v>
      </c>
      <c r="C352">
        <v>709</v>
      </c>
      <c r="D352" t="s">
        <v>9</v>
      </c>
      <c r="E352" t="s">
        <v>126</v>
      </c>
      <c r="F352">
        <f t="shared" si="5"/>
        <v>530842.48</v>
      </c>
    </row>
    <row r="353" spans="1:6" x14ac:dyDescent="0.35">
      <c r="A353" t="s">
        <v>410</v>
      </c>
      <c r="B353">
        <v>187.88</v>
      </c>
      <c r="C353">
        <v>23</v>
      </c>
      <c r="D353" t="s">
        <v>6</v>
      </c>
      <c r="E353" t="s">
        <v>236</v>
      </c>
      <c r="F353">
        <f t="shared" si="5"/>
        <v>4321.24</v>
      </c>
    </row>
    <row r="354" spans="1:6" x14ac:dyDescent="0.35">
      <c r="A354" t="s">
        <v>411</v>
      </c>
      <c r="B354">
        <v>880.95</v>
      </c>
      <c r="C354">
        <v>17</v>
      </c>
      <c r="D354" t="s">
        <v>14</v>
      </c>
      <c r="E354" t="s">
        <v>40</v>
      </c>
      <c r="F354">
        <f t="shared" si="5"/>
        <v>14976.150000000001</v>
      </c>
    </row>
    <row r="355" spans="1:6" x14ac:dyDescent="0.35">
      <c r="A355" t="s">
        <v>412</v>
      </c>
      <c r="B355">
        <v>158.38999999999999</v>
      </c>
      <c r="C355">
        <v>669</v>
      </c>
      <c r="D355" t="s">
        <v>6</v>
      </c>
      <c r="E355" t="s">
        <v>57</v>
      </c>
      <c r="F355">
        <f t="shared" si="5"/>
        <v>105962.90999999999</v>
      </c>
    </row>
    <row r="356" spans="1:6" x14ac:dyDescent="0.35">
      <c r="A356" t="s">
        <v>413</v>
      </c>
      <c r="B356">
        <v>664.74</v>
      </c>
      <c r="C356">
        <v>443</v>
      </c>
      <c r="D356" t="s">
        <v>12</v>
      </c>
      <c r="E356" t="s">
        <v>48</v>
      </c>
      <c r="F356">
        <f t="shared" si="5"/>
        <v>294479.82</v>
      </c>
    </row>
    <row r="357" spans="1:6" x14ac:dyDescent="0.35">
      <c r="A357" t="s">
        <v>414</v>
      </c>
      <c r="B357">
        <v>502.53</v>
      </c>
      <c r="C357">
        <v>962</v>
      </c>
      <c r="D357" t="s">
        <v>6</v>
      </c>
      <c r="E357" t="s">
        <v>415</v>
      </c>
      <c r="F357">
        <f t="shared" si="5"/>
        <v>483433.86</v>
      </c>
    </row>
    <row r="358" spans="1:6" x14ac:dyDescent="0.35">
      <c r="A358" t="s">
        <v>302</v>
      </c>
      <c r="B358">
        <v>163.89</v>
      </c>
      <c r="C358">
        <v>196</v>
      </c>
      <c r="D358" t="s">
        <v>12</v>
      </c>
      <c r="E358" t="s">
        <v>42</v>
      </c>
      <c r="F358">
        <f t="shared" si="5"/>
        <v>32122.44</v>
      </c>
    </row>
    <row r="359" spans="1:6" x14ac:dyDescent="0.35">
      <c r="A359" t="s">
        <v>391</v>
      </c>
      <c r="B359">
        <v>260.06</v>
      </c>
      <c r="C359">
        <v>176</v>
      </c>
      <c r="D359" t="s">
        <v>12</v>
      </c>
      <c r="E359" t="s">
        <v>40</v>
      </c>
      <c r="F359">
        <f t="shared" si="5"/>
        <v>45770.559999999998</v>
      </c>
    </row>
    <row r="360" spans="1:6" x14ac:dyDescent="0.35">
      <c r="A360" t="s">
        <v>268</v>
      </c>
      <c r="B360">
        <v>216.3</v>
      </c>
      <c r="C360">
        <v>430</v>
      </c>
      <c r="D360" t="s">
        <v>6</v>
      </c>
      <c r="E360" t="s">
        <v>69</v>
      </c>
      <c r="F360">
        <f t="shared" si="5"/>
        <v>93009</v>
      </c>
    </row>
    <row r="361" spans="1:6" x14ac:dyDescent="0.35">
      <c r="A361" t="s">
        <v>73</v>
      </c>
      <c r="B361">
        <v>758.96</v>
      </c>
      <c r="C361">
        <v>413</v>
      </c>
      <c r="D361" t="s">
        <v>12</v>
      </c>
      <c r="E361" t="s">
        <v>7</v>
      </c>
      <c r="F361">
        <f t="shared" si="5"/>
        <v>313450.48000000004</v>
      </c>
    </row>
    <row r="362" spans="1:6" x14ac:dyDescent="0.35">
      <c r="A362" t="s">
        <v>416</v>
      </c>
      <c r="B362">
        <v>707.63</v>
      </c>
      <c r="C362">
        <v>67</v>
      </c>
      <c r="D362" t="s">
        <v>6</v>
      </c>
      <c r="E362" t="s">
        <v>108</v>
      </c>
      <c r="F362">
        <f t="shared" si="5"/>
        <v>47411.21</v>
      </c>
    </row>
    <row r="363" spans="1:6" x14ac:dyDescent="0.35">
      <c r="A363" t="s">
        <v>417</v>
      </c>
      <c r="B363">
        <v>890.31</v>
      </c>
      <c r="C363">
        <v>105</v>
      </c>
      <c r="D363" t="s">
        <v>12</v>
      </c>
      <c r="E363" t="s">
        <v>295</v>
      </c>
      <c r="F363">
        <f t="shared" si="5"/>
        <v>93482.549999999988</v>
      </c>
    </row>
    <row r="364" spans="1:6" x14ac:dyDescent="0.35">
      <c r="A364" t="s">
        <v>418</v>
      </c>
      <c r="B364">
        <v>453.29</v>
      </c>
      <c r="C364">
        <v>391</v>
      </c>
      <c r="D364" t="s">
        <v>9</v>
      </c>
      <c r="E364" t="s">
        <v>72</v>
      </c>
      <c r="F364">
        <f t="shared" si="5"/>
        <v>177236.39</v>
      </c>
    </row>
    <row r="365" spans="1:6" x14ac:dyDescent="0.35">
      <c r="A365" t="s">
        <v>419</v>
      </c>
      <c r="B365">
        <v>411.97</v>
      </c>
      <c r="C365">
        <v>296</v>
      </c>
      <c r="D365" t="s">
        <v>12</v>
      </c>
      <c r="E365" t="s">
        <v>57</v>
      </c>
      <c r="F365">
        <f t="shared" si="5"/>
        <v>121943.12000000001</v>
      </c>
    </row>
    <row r="366" spans="1:6" x14ac:dyDescent="0.35">
      <c r="A366" t="s">
        <v>420</v>
      </c>
      <c r="B366">
        <v>310.54000000000002</v>
      </c>
      <c r="C366">
        <v>357</v>
      </c>
      <c r="D366" t="s">
        <v>17</v>
      </c>
      <c r="E366" t="s">
        <v>33</v>
      </c>
      <c r="F366">
        <f t="shared" si="5"/>
        <v>110862.78000000001</v>
      </c>
    </row>
    <row r="367" spans="1:6" x14ac:dyDescent="0.35">
      <c r="A367" t="s">
        <v>402</v>
      </c>
      <c r="B367">
        <v>814.1</v>
      </c>
      <c r="C367">
        <v>846</v>
      </c>
      <c r="D367" t="s">
        <v>14</v>
      </c>
      <c r="E367" t="s">
        <v>155</v>
      </c>
      <c r="F367">
        <f t="shared" si="5"/>
        <v>688728.6</v>
      </c>
    </row>
    <row r="368" spans="1:6" x14ac:dyDescent="0.35">
      <c r="A368" t="s">
        <v>352</v>
      </c>
      <c r="B368">
        <v>459.11</v>
      </c>
      <c r="C368">
        <v>742</v>
      </c>
      <c r="D368" t="s">
        <v>14</v>
      </c>
      <c r="E368" t="s">
        <v>72</v>
      </c>
      <c r="F368">
        <f t="shared" si="5"/>
        <v>340659.62</v>
      </c>
    </row>
    <row r="369" spans="1:6" x14ac:dyDescent="0.35">
      <c r="A369" t="s">
        <v>421</v>
      </c>
      <c r="B369">
        <v>565.07000000000005</v>
      </c>
      <c r="C369">
        <v>125</v>
      </c>
      <c r="D369" t="s">
        <v>14</v>
      </c>
      <c r="E369" t="s">
        <v>66</v>
      </c>
      <c r="F369">
        <f t="shared" si="5"/>
        <v>70633.75</v>
      </c>
    </row>
    <row r="370" spans="1:6" x14ac:dyDescent="0.35">
      <c r="A370" t="s">
        <v>422</v>
      </c>
      <c r="B370">
        <v>409.11</v>
      </c>
      <c r="C370">
        <v>405</v>
      </c>
      <c r="D370" t="s">
        <v>17</v>
      </c>
      <c r="E370" t="s">
        <v>72</v>
      </c>
      <c r="F370">
        <f t="shared" si="5"/>
        <v>165689.55000000002</v>
      </c>
    </row>
    <row r="371" spans="1:6" x14ac:dyDescent="0.35">
      <c r="A371" t="s">
        <v>423</v>
      </c>
      <c r="B371">
        <v>401.81</v>
      </c>
      <c r="C371">
        <v>462</v>
      </c>
      <c r="D371" t="s">
        <v>17</v>
      </c>
      <c r="E371" t="s">
        <v>33</v>
      </c>
      <c r="F371">
        <f t="shared" si="5"/>
        <v>185636.22</v>
      </c>
    </row>
    <row r="372" spans="1:6" x14ac:dyDescent="0.35">
      <c r="A372" t="s">
        <v>424</v>
      </c>
      <c r="B372">
        <v>65.22</v>
      </c>
      <c r="C372">
        <v>841</v>
      </c>
      <c r="D372" t="s">
        <v>12</v>
      </c>
      <c r="E372" t="s">
        <v>126</v>
      </c>
      <c r="F372">
        <f t="shared" si="5"/>
        <v>54850.02</v>
      </c>
    </row>
    <row r="373" spans="1:6" x14ac:dyDescent="0.35">
      <c r="A373" t="s">
        <v>357</v>
      </c>
      <c r="B373">
        <v>718.16</v>
      </c>
      <c r="C373">
        <v>506</v>
      </c>
      <c r="D373" t="s">
        <v>14</v>
      </c>
      <c r="E373" t="s">
        <v>10</v>
      </c>
      <c r="F373">
        <f t="shared" si="5"/>
        <v>363388.95999999996</v>
      </c>
    </row>
    <row r="374" spans="1:6" x14ac:dyDescent="0.35">
      <c r="A374" t="s">
        <v>206</v>
      </c>
      <c r="B374">
        <v>21.11</v>
      </c>
      <c r="C374">
        <v>995</v>
      </c>
      <c r="D374" t="s">
        <v>12</v>
      </c>
      <c r="E374" t="s">
        <v>44</v>
      </c>
      <c r="F374">
        <f t="shared" si="5"/>
        <v>21004.45</v>
      </c>
    </row>
    <row r="375" spans="1:6" x14ac:dyDescent="0.35">
      <c r="A375" t="s">
        <v>300</v>
      </c>
      <c r="B375">
        <v>417.42</v>
      </c>
      <c r="C375">
        <v>949</v>
      </c>
      <c r="D375" t="s">
        <v>6</v>
      </c>
      <c r="E375" t="s">
        <v>163</v>
      </c>
      <c r="F375">
        <f t="shared" si="5"/>
        <v>396131.58</v>
      </c>
    </row>
    <row r="376" spans="1:6" x14ac:dyDescent="0.35">
      <c r="A376" t="s">
        <v>425</v>
      </c>
      <c r="B376">
        <v>47.82</v>
      </c>
      <c r="C376">
        <v>733</v>
      </c>
      <c r="D376" t="s">
        <v>17</v>
      </c>
      <c r="E376" t="s">
        <v>29</v>
      </c>
      <c r="F376">
        <f t="shared" si="5"/>
        <v>35052.06</v>
      </c>
    </row>
    <row r="377" spans="1:6" x14ac:dyDescent="0.35">
      <c r="A377" t="s">
        <v>426</v>
      </c>
      <c r="B377">
        <v>915</v>
      </c>
      <c r="C377">
        <v>795</v>
      </c>
      <c r="D377" t="s">
        <v>14</v>
      </c>
      <c r="E377" t="s">
        <v>88</v>
      </c>
      <c r="F377">
        <f t="shared" si="5"/>
        <v>727425</v>
      </c>
    </row>
    <row r="378" spans="1:6" x14ac:dyDescent="0.35">
      <c r="A378" t="s">
        <v>427</v>
      </c>
      <c r="B378">
        <v>32.5</v>
      </c>
      <c r="C378">
        <v>82</v>
      </c>
      <c r="D378" t="s">
        <v>6</v>
      </c>
      <c r="E378" t="s">
        <v>7</v>
      </c>
      <c r="F378">
        <f t="shared" si="5"/>
        <v>2665</v>
      </c>
    </row>
    <row r="379" spans="1:6" x14ac:dyDescent="0.35">
      <c r="A379" t="s">
        <v>428</v>
      </c>
      <c r="B379">
        <v>362.15</v>
      </c>
      <c r="C379">
        <v>3</v>
      </c>
      <c r="D379" t="s">
        <v>12</v>
      </c>
      <c r="E379" t="s">
        <v>122</v>
      </c>
      <c r="F379">
        <f t="shared" si="5"/>
        <v>1086.4499999999998</v>
      </c>
    </row>
    <row r="380" spans="1:6" x14ac:dyDescent="0.35">
      <c r="A380" t="s">
        <v>429</v>
      </c>
      <c r="B380">
        <v>671.62</v>
      </c>
      <c r="C380">
        <v>394</v>
      </c>
      <c r="D380" t="s">
        <v>17</v>
      </c>
      <c r="E380" t="s">
        <v>7</v>
      </c>
      <c r="F380">
        <f t="shared" si="5"/>
        <v>264618.28000000003</v>
      </c>
    </row>
    <row r="381" spans="1:6" x14ac:dyDescent="0.35">
      <c r="A381" t="s">
        <v>430</v>
      </c>
      <c r="B381">
        <v>229.5</v>
      </c>
      <c r="C381">
        <v>950</v>
      </c>
      <c r="D381" t="s">
        <v>12</v>
      </c>
      <c r="E381" t="s">
        <v>18</v>
      </c>
      <c r="F381">
        <f t="shared" si="5"/>
        <v>218025</v>
      </c>
    </row>
    <row r="382" spans="1:6" x14ac:dyDescent="0.35">
      <c r="A382" t="s">
        <v>431</v>
      </c>
      <c r="B382">
        <v>13.08</v>
      </c>
      <c r="C382">
        <v>316</v>
      </c>
      <c r="D382" t="s">
        <v>14</v>
      </c>
      <c r="E382" t="s">
        <v>295</v>
      </c>
      <c r="F382">
        <f t="shared" si="5"/>
        <v>4133.28</v>
      </c>
    </row>
    <row r="383" spans="1:6" x14ac:dyDescent="0.35">
      <c r="A383" t="s">
        <v>432</v>
      </c>
      <c r="B383">
        <v>429.72</v>
      </c>
      <c r="C383">
        <v>247</v>
      </c>
      <c r="D383" t="s">
        <v>9</v>
      </c>
      <c r="E383" t="s">
        <v>433</v>
      </c>
      <c r="F383">
        <f t="shared" si="5"/>
        <v>106140.84000000001</v>
      </c>
    </row>
    <row r="384" spans="1:6" x14ac:dyDescent="0.35">
      <c r="A384" t="s">
        <v>434</v>
      </c>
      <c r="B384">
        <v>299.02999999999997</v>
      </c>
      <c r="C384">
        <v>306</v>
      </c>
      <c r="D384" t="s">
        <v>12</v>
      </c>
      <c r="E384" t="s">
        <v>27</v>
      </c>
      <c r="F384">
        <f t="shared" si="5"/>
        <v>91503.18</v>
      </c>
    </row>
    <row r="385" spans="1:6" x14ac:dyDescent="0.35">
      <c r="A385" t="s">
        <v>435</v>
      </c>
      <c r="B385">
        <v>561.02</v>
      </c>
      <c r="C385">
        <v>999</v>
      </c>
      <c r="D385" t="s">
        <v>6</v>
      </c>
      <c r="E385" t="s">
        <v>25</v>
      </c>
      <c r="F385">
        <f t="shared" si="5"/>
        <v>560458.98</v>
      </c>
    </row>
    <row r="386" spans="1:6" x14ac:dyDescent="0.35">
      <c r="A386" t="s">
        <v>436</v>
      </c>
      <c r="B386">
        <v>682.93</v>
      </c>
      <c r="C386">
        <v>997</v>
      </c>
      <c r="D386" t="s">
        <v>12</v>
      </c>
      <c r="E386" t="s">
        <v>57</v>
      </c>
      <c r="F386">
        <f t="shared" si="5"/>
        <v>680881.21</v>
      </c>
    </row>
    <row r="387" spans="1:6" x14ac:dyDescent="0.35">
      <c r="A387" t="s">
        <v>437</v>
      </c>
      <c r="B387">
        <v>50.36</v>
      </c>
      <c r="C387">
        <v>249</v>
      </c>
      <c r="D387" t="s">
        <v>9</v>
      </c>
      <c r="E387" t="s">
        <v>23</v>
      </c>
      <c r="F387">
        <f t="shared" ref="F387:F450" si="6">B387*C387</f>
        <v>12539.64</v>
      </c>
    </row>
    <row r="388" spans="1:6" x14ac:dyDescent="0.35">
      <c r="A388" t="s">
        <v>438</v>
      </c>
      <c r="B388">
        <v>465.76</v>
      </c>
      <c r="C388">
        <v>55</v>
      </c>
      <c r="D388" t="s">
        <v>17</v>
      </c>
      <c r="E388" t="s">
        <v>44</v>
      </c>
      <c r="F388">
        <f t="shared" si="6"/>
        <v>25616.799999999999</v>
      </c>
    </row>
    <row r="389" spans="1:6" x14ac:dyDescent="0.35">
      <c r="A389" t="s">
        <v>439</v>
      </c>
      <c r="B389">
        <v>395.42</v>
      </c>
      <c r="C389">
        <v>917</v>
      </c>
      <c r="D389" t="s">
        <v>9</v>
      </c>
      <c r="E389" t="s">
        <v>57</v>
      </c>
      <c r="F389">
        <f t="shared" si="6"/>
        <v>362600.14</v>
      </c>
    </row>
    <row r="390" spans="1:6" x14ac:dyDescent="0.35">
      <c r="A390" t="s">
        <v>440</v>
      </c>
      <c r="B390">
        <v>229.75</v>
      </c>
      <c r="C390">
        <v>740</v>
      </c>
      <c r="D390" t="s">
        <v>17</v>
      </c>
      <c r="E390" t="s">
        <v>96</v>
      </c>
      <c r="F390">
        <f t="shared" si="6"/>
        <v>170015</v>
      </c>
    </row>
    <row r="391" spans="1:6" x14ac:dyDescent="0.35">
      <c r="A391" t="s">
        <v>441</v>
      </c>
      <c r="B391">
        <v>924.85</v>
      </c>
      <c r="C391">
        <v>914</v>
      </c>
      <c r="D391" t="s">
        <v>12</v>
      </c>
      <c r="E391" t="s">
        <v>69</v>
      </c>
      <c r="F391">
        <f t="shared" si="6"/>
        <v>845312.9</v>
      </c>
    </row>
    <row r="392" spans="1:6" x14ac:dyDescent="0.35">
      <c r="A392" t="s">
        <v>442</v>
      </c>
      <c r="B392">
        <v>382.15</v>
      </c>
      <c r="C392">
        <v>382</v>
      </c>
      <c r="D392" t="s">
        <v>9</v>
      </c>
      <c r="E392" t="s">
        <v>48</v>
      </c>
      <c r="F392">
        <f t="shared" si="6"/>
        <v>145981.29999999999</v>
      </c>
    </row>
    <row r="393" spans="1:6" x14ac:dyDescent="0.35">
      <c r="A393" t="s">
        <v>443</v>
      </c>
      <c r="B393">
        <v>457.13</v>
      </c>
      <c r="C393">
        <v>659</v>
      </c>
      <c r="D393" t="s">
        <v>14</v>
      </c>
      <c r="E393" t="s">
        <v>149</v>
      </c>
      <c r="F393">
        <f t="shared" si="6"/>
        <v>301248.67</v>
      </c>
    </row>
    <row r="394" spans="1:6" x14ac:dyDescent="0.35">
      <c r="A394" t="s">
        <v>192</v>
      </c>
      <c r="B394">
        <v>960.94</v>
      </c>
      <c r="C394">
        <v>385</v>
      </c>
      <c r="D394" t="s">
        <v>14</v>
      </c>
      <c r="E394" t="s">
        <v>193</v>
      </c>
      <c r="F394">
        <f t="shared" si="6"/>
        <v>369961.9</v>
      </c>
    </row>
    <row r="395" spans="1:6" x14ac:dyDescent="0.35">
      <c r="A395" t="s">
        <v>444</v>
      </c>
      <c r="B395">
        <v>431.03</v>
      </c>
      <c r="C395">
        <v>221</v>
      </c>
      <c r="D395" t="s">
        <v>14</v>
      </c>
      <c r="E395" t="s">
        <v>133</v>
      </c>
      <c r="F395">
        <f t="shared" si="6"/>
        <v>95257.62999999999</v>
      </c>
    </row>
    <row r="396" spans="1:6" x14ac:dyDescent="0.35">
      <c r="A396" t="s">
        <v>445</v>
      </c>
      <c r="B396">
        <v>428.43</v>
      </c>
      <c r="C396">
        <v>122</v>
      </c>
      <c r="D396" t="s">
        <v>9</v>
      </c>
      <c r="E396" t="s">
        <v>15</v>
      </c>
      <c r="F396">
        <f t="shared" si="6"/>
        <v>52268.46</v>
      </c>
    </row>
    <row r="397" spans="1:6" x14ac:dyDescent="0.35">
      <c r="A397" t="s">
        <v>446</v>
      </c>
      <c r="B397">
        <v>47.77</v>
      </c>
      <c r="C397">
        <v>945</v>
      </c>
      <c r="D397" t="s">
        <v>17</v>
      </c>
      <c r="E397" t="s">
        <v>7</v>
      </c>
      <c r="F397">
        <f t="shared" si="6"/>
        <v>45142.65</v>
      </c>
    </row>
    <row r="398" spans="1:6" x14ac:dyDescent="0.35">
      <c r="A398" t="s">
        <v>447</v>
      </c>
      <c r="B398">
        <v>854.03</v>
      </c>
      <c r="C398">
        <v>50</v>
      </c>
      <c r="D398" t="s">
        <v>17</v>
      </c>
      <c r="E398" t="s">
        <v>72</v>
      </c>
      <c r="F398">
        <f t="shared" si="6"/>
        <v>42701.5</v>
      </c>
    </row>
    <row r="399" spans="1:6" x14ac:dyDescent="0.35">
      <c r="A399" t="s">
        <v>448</v>
      </c>
      <c r="B399">
        <v>951.15</v>
      </c>
      <c r="C399">
        <v>605</v>
      </c>
      <c r="D399" t="s">
        <v>9</v>
      </c>
      <c r="E399" t="s">
        <v>240</v>
      </c>
      <c r="F399">
        <f t="shared" si="6"/>
        <v>575445.75</v>
      </c>
    </row>
    <row r="400" spans="1:6" x14ac:dyDescent="0.35">
      <c r="A400" t="s">
        <v>449</v>
      </c>
      <c r="B400">
        <v>961.69</v>
      </c>
      <c r="C400">
        <v>114</v>
      </c>
      <c r="D400" t="s">
        <v>9</v>
      </c>
      <c r="E400" t="s">
        <v>57</v>
      </c>
      <c r="F400">
        <f t="shared" si="6"/>
        <v>109632.66</v>
      </c>
    </row>
    <row r="401" spans="1:6" x14ac:dyDescent="0.35">
      <c r="A401" t="s">
        <v>450</v>
      </c>
      <c r="B401">
        <v>927.91</v>
      </c>
      <c r="C401">
        <v>177</v>
      </c>
      <c r="D401" t="s">
        <v>6</v>
      </c>
      <c r="E401" t="s">
        <v>29</v>
      </c>
      <c r="F401">
        <f t="shared" si="6"/>
        <v>164240.07</v>
      </c>
    </row>
    <row r="402" spans="1:6" x14ac:dyDescent="0.35">
      <c r="A402" t="s">
        <v>451</v>
      </c>
      <c r="B402">
        <v>381.76</v>
      </c>
      <c r="C402">
        <v>275</v>
      </c>
      <c r="D402" t="s">
        <v>6</v>
      </c>
      <c r="E402" t="s">
        <v>33</v>
      </c>
      <c r="F402">
        <f t="shared" si="6"/>
        <v>104984</v>
      </c>
    </row>
    <row r="403" spans="1:6" x14ac:dyDescent="0.35">
      <c r="A403" t="s">
        <v>452</v>
      </c>
      <c r="B403">
        <v>174.34</v>
      </c>
      <c r="C403">
        <v>664</v>
      </c>
      <c r="D403" t="s">
        <v>17</v>
      </c>
      <c r="E403" t="s">
        <v>23</v>
      </c>
      <c r="F403">
        <f t="shared" si="6"/>
        <v>115761.76000000001</v>
      </c>
    </row>
    <row r="404" spans="1:6" x14ac:dyDescent="0.35">
      <c r="A404" t="s">
        <v>277</v>
      </c>
      <c r="B404">
        <v>382.04</v>
      </c>
      <c r="C404">
        <v>46</v>
      </c>
      <c r="D404" t="s">
        <v>14</v>
      </c>
      <c r="E404" t="s">
        <v>33</v>
      </c>
      <c r="F404">
        <f t="shared" si="6"/>
        <v>17573.84</v>
      </c>
    </row>
    <row r="405" spans="1:6" x14ac:dyDescent="0.35">
      <c r="A405" t="s">
        <v>453</v>
      </c>
      <c r="B405">
        <v>117.38</v>
      </c>
      <c r="C405">
        <v>272</v>
      </c>
      <c r="D405" t="s">
        <v>14</v>
      </c>
      <c r="E405" t="s">
        <v>27</v>
      </c>
      <c r="F405">
        <f t="shared" si="6"/>
        <v>31927.360000000001</v>
      </c>
    </row>
    <row r="406" spans="1:6" x14ac:dyDescent="0.35">
      <c r="A406" t="s">
        <v>454</v>
      </c>
      <c r="B406">
        <v>613.73</v>
      </c>
      <c r="C406">
        <v>819</v>
      </c>
      <c r="D406" t="s">
        <v>6</v>
      </c>
      <c r="E406" t="s">
        <v>118</v>
      </c>
      <c r="F406">
        <f t="shared" si="6"/>
        <v>502644.87</v>
      </c>
    </row>
    <row r="407" spans="1:6" x14ac:dyDescent="0.35">
      <c r="A407" t="s">
        <v>455</v>
      </c>
      <c r="B407">
        <v>137.21</v>
      </c>
      <c r="C407">
        <v>356</v>
      </c>
      <c r="D407" t="s">
        <v>14</v>
      </c>
      <c r="E407" t="s">
        <v>320</v>
      </c>
      <c r="F407">
        <f t="shared" si="6"/>
        <v>48846.76</v>
      </c>
    </row>
    <row r="408" spans="1:6" x14ac:dyDescent="0.35">
      <c r="A408" t="s">
        <v>456</v>
      </c>
      <c r="B408">
        <v>262.07</v>
      </c>
      <c r="C408">
        <v>524</v>
      </c>
      <c r="D408" t="s">
        <v>12</v>
      </c>
      <c r="E408" t="s">
        <v>48</v>
      </c>
      <c r="F408">
        <f t="shared" si="6"/>
        <v>137324.68</v>
      </c>
    </row>
    <row r="409" spans="1:6" x14ac:dyDescent="0.35">
      <c r="A409" t="s">
        <v>259</v>
      </c>
      <c r="B409">
        <v>354.38</v>
      </c>
      <c r="C409">
        <v>903</v>
      </c>
      <c r="D409" t="s">
        <v>6</v>
      </c>
      <c r="E409" t="s">
        <v>48</v>
      </c>
      <c r="F409">
        <f t="shared" si="6"/>
        <v>320005.14</v>
      </c>
    </row>
    <row r="410" spans="1:6" x14ac:dyDescent="0.35">
      <c r="A410" t="s">
        <v>457</v>
      </c>
      <c r="B410">
        <v>566.47</v>
      </c>
      <c r="C410">
        <v>535</v>
      </c>
      <c r="D410" t="s">
        <v>12</v>
      </c>
      <c r="E410" t="s">
        <v>44</v>
      </c>
      <c r="F410">
        <f t="shared" si="6"/>
        <v>303061.45</v>
      </c>
    </row>
    <row r="411" spans="1:6" x14ac:dyDescent="0.35">
      <c r="A411" t="s">
        <v>458</v>
      </c>
      <c r="B411">
        <v>114.96</v>
      </c>
      <c r="C411">
        <v>655</v>
      </c>
      <c r="D411" t="s">
        <v>12</v>
      </c>
      <c r="E411" t="s">
        <v>405</v>
      </c>
      <c r="F411">
        <f t="shared" si="6"/>
        <v>75298.8</v>
      </c>
    </row>
    <row r="412" spans="1:6" x14ac:dyDescent="0.35">
      <c r="A412" t="s">
        <v>459</v>
      </c>
      <c r="B412">
        <v>439.05</v>
      </c>
      <c r="C412">
        <v>531</v>
      </c>
      <c r="D412" t="s">
        <v>6</v>
      </c>
      <c r="E412" t="s">
        <v>72</v>
      </c>
      <c r="F412">
        <f t="shared" si="6"/>
        <v>233135.55000000002</v>
      </c>
    </row>
    <row r="413" spans="1:6" x14ac:dyDescent="0.35">
      <c r="A413" t="s">
        <v>333</v>
      </c>
      <c r="B413">
        <v>351.53</v>
      </c>
      <c r="C413">
        <v>360</v>
      </c>
      <c r="D413" t="s">
        <v>12</v>
      </c>
      <c r="E413" t="s">
        <v>81</v>
      </c>
      <c r="F413">
        <f t="shared" si="6"/>
        <v>126550.79999999999</v>
      </c>
    </row>
    <row r="414" spans="1:6" x14ac:dyDescent="0.35">
      <c r="A414" t="s">
        <v>261</v>
      </c>
      <c r="B414">
        <v>666.55</v>
      </c>
      <c r="C414">
        <v>943</v>
      </c>
      <c r="D414" t="s">
        <v>6</v>
      </c>
      <c r="E414" t="s">
        <v>33</v>
      </c>
      <c r="F414">
        <f t="shared" si="6"/>
        <v>628556.64999999991</v>
      </c>
    </row>
    <row r="415" spans="1:6" x14ac:dyDescent="0.35">
      <c r="A415" t="s">
        <v>460</v>
      </c>
      <c r="B415">
        <v>413.56</v>
      </c>
      <c r="C415">
        <v>625</v>
      </c>
      <c r="D415" t="s">
        <v>9</v>
      </c>
      <c r="E415" t="s">
        <v>72</v>
      </c>
      <c r="F415">
        <f t="shared" si="6"/>
        <v>258475</v>
      </c>
    </row>
    <row r="416" spans="1:6" x14ac:dyDescent="0.35">
      <c r="A416" t="s">
        <v>461</v>
      </c>
      <c r="B416">
        <v>984.51</v>
      </c>
      <c r="C416">
        <v>497</v>
      </c>
      <c r="D416" t="s">
        <v>9</v>
      </c>
      <c r="E416" t="s">
        <v>44</v>
      </c>
      <c r="F416">
        <f t="shared" si="6"/>
        <v>489301.47</v>
      </c>
    </row>
    <row r="417" spans="1:6" x14ac:dyDescent="0.35">
      <c r="A417" t="s">
        <v>462</v>
      </c>
      <c r="B417">
        <v>693.41</v>
      </c>
      <c r="C417">
        <v>671</v>
      </c>
      <c r="D417" t="s">
        <v>9</v>
      </c>
      <c r="E417" t="s">
        <v>463</v>
      </c>
      <c r="F417">
        <f t="shared" si="6"/>
        <v>465278.11</v>
      </c>
    </row>
    <row r="418" spans="1:6" x14ac:dyDescent="0.35">
      <c r="A418" t="s">
        <v>449</v>
      </c>
      <c r="B418">
        <v>691.24</v>
      </c>
      <c r="C418">
        <v>623</v>
      </c>
      <c r="D418" t="s">
        <v>6</v>
      </c>
      <c r="E418" t="s">
        <v>57</v>
      </c>
      <c r="F418">
        <f t="shared" si="6"/>
        <v>430642.52</v>
      </c>
    </row>
    <row r="419" spans="1:6" x14ac:dyDescent="0.35">
      <c r="A419" t="s">
        <v>464</v>
      </c>
      <c r="B419">
        <v>310.45999999999998</v>
      </c>
      <c r="C419">
        <v>942</v>
      </c>
      <c r="D419" t="s">
        <v>6</v>
      </c>
      <c r="E419" t="s">
        <v>295</v>
      </c>
      <c r="F419">
        <f t="shared" si="6"/>
        <v>292453.32</v>
      </c>
    </row>
    <row r="420" spans="1:6" x14ac:dyDescent="0.35">
      <c r="A420" t="s">
        <v>101</v>
      </c>
      <c r="B420">
        <v>257.14</v>
      </c>
      <c r="C420">
        <v>932</v>
      </c>
      <c r="D420" t="s">
        <v>9</v>
      </c>
      <c r="E420" t="s">
        <v>15</v>
      </c>
      <c r="F420">
        <f t="shared" si="6"/>
        <v>239654.47999999998</v>
      </c>
    </row>
    <row r="421" spans="1:6" x14ac:dyDescent="0.35">
      <c r="A421" t="s">
        <v>465</v>
      </c>
      <c r="B421">
        <v>218.49</v>
      </c>
      <c r="C421">
        <v>369</v>
      </c>
      <c r="D421" t="s">
        <v>14</v>
      </c>
      <c r="E421" t="s">
        <v>168</v>
      </c>
      <c r="F421">
        <f t="shared" si="6"/>
        <v>80622.81</v>
      </c>
    </row>
    <row r="422" spans="1:6" x14ac:dyDescent="0.35">
      <c r="A422" t="s">
        <v>466</v>
      </c>
      <c r="B422">
        <v>632.64</v>
      </c>
      <c r="C422">
        <v>382</v>
      </c>
      <c r="D422" t="s">
        <v>12</v>
      </c>
      <c r="E422" t="s">
        <v>155</v>
      </c>
      <c r="F422">
        <f t="shared" si="6"/>
        <v>241668.47999999998</v>
      </c>
    </row>
    <row r="423" spans="1:6" x14ac:dyDescent="0.35">
      <c r="A423" t="s">
        <v>285</v>
      </c>
      <c r="B423">
        <v>115.33</v>
      </c>
      <c r="C423">
        <v>405</v>
      </c>
      <c r="D423" t="s">
        <v>9</v>
      </c>
      <c r="E423" t="s">
        <v>240</v>
      </c>
      <c r="F423">
        <f t="shared" si="6"/>
        <v>46708.65</v>
      </c>
    </row>
    <row r="424" spans="1:6" x14ac:dyDescent="0.35">
      <c r="A424" t="s">
        <v>467</v>
      </c>
      <c r="B424">
        <v>74.61</v>
      </c>
      <c r="C424">
        <v>17</v>
      </c>
      <c r="D424" t="s">
        <v>9</v>
      </c>
      <c r="E424" t="s">
        <v>29</v>
      </c>
      <c r="F424">
        <f t="shared" si="6"/>
        <v>1268.3699999999999</v>
      </c>
    </row>
    <row r="425" spans="1:6" x14ac:dyDescent="0.35">
      <c r="A425" t="s">
        <v>468</v>
      </c>
      <c r="B425">
        <v>60.2</v>
      </c>
      <c r="C425">
        <v>227</v>
      </c>
      <c r="D425" t="s">
        <v>6</v>
      </c>
      <c r="E425" t="s">
        <v>79</v>
      </c>
      <c r="F425">
        <f t="shared" si="6"/>
        <v>13665.400000000001</v>
      </c>
    </row>
    <row r="426" spans="1:6" x14ac:dyDescent="0.35">
      <c r="A426" t="s">
        <v>469</v>
      </c>
      <c r="B426">
        <v>80.25</v>
      </c>
      <c r="C426">
        <v>823</v>
      </c>
      <c r="D426" t="s">
        <v>14</v>
      </c>
      <c r="E426" t="s">
        <v>38</v>
      </c>
      <c r="F426">
        <f t="shared" si="6"/>
        <v>66045.75</v>
      </c>
    </row>
    <row r="427" spans="1:6" x14ac:dyDescent="0.35">
      <c r="A427" t="s">
        <v>470</v>
      </c>
      <c r="B427">
        <v>272.27999999999997</v>
      </c>
      <c r="C427">
        <v>562</v>
      </c>
      <c r="D427" t="s">
        <v>17</v>
      </c>
      <c r="E427" t="s">
        <v>38</v>
      </c>
      <c r="F427">
        <f t="shared" si="6"/>
        <v>153021.35999999999</v>
      </c>
    </row>
    <row r="428" spans="1:6" x14ac:dyDescent="0.35">
      <c r="A428" t="s">
        <v>327</v>
      </c>
      <c r="B428">
        <v>63.58</v>
      </c>
      <c r="C428">
        <v>466</v>
      </c>
      <c r="D428" t="s">
        <v>17</v>
      </c>
      <c r="E428" t="s">
        <v>33</v>
      </c>
      <c r="F428">
        <f t="shared" si="6"/>
        <v>29628.28</v>
      </c>
    </row>
    <row r="429" spans="1:6" x14ac:dyDescent="0.35">
      <c r="A429" t="s">
        <v>471</v>
      </c>
      <c r="B429">
        <v>377.9</v>
      </c>
      <c r="C429">
        <v>570</v>
      </c>
      <c r="D429" t="s">
        <v>9</v>
      </c>
      <c r="E429" t="s">
        <v>472</v>
      </c>
      <c r="F429">
        <f t="shared" si="6"/>
        <v>215403</v>
      </c>
    </row>
    <row r="430" spans="1:6" x14ac:dyDescent="0.35">
      <c r="A430" t="s">
        <v>365</v>
      </c>
      <c r="B430">
        <v>352.56</v>
      </c>
      <c r="C430">
        <v>12</v>
      </c>
      <c r="D430" t="s">
        <v>17</v>
      </c>
      <c r="E430" t="s">
        <v>72</v>
      </c>
      <c r="F430">
        <f t="shared" si="6"/>
        <v>4230.72</v>
      </c>
    </row>
    <row r="431" spans="1:6" x14ac:dyDescent="0.35">
      <c r="A431" t="s">
        <v>473</v>
      </c>
      <c r="B431">
        <v>688.56</v>
      </c>
      <c r="C431">
        <v>216</v>
      </c>
      <c r="D431" t="s">
        <v>17</v>
      </c>
      <c r="E431" t="s">
        <v>33</v>
      </c>
      <c r="F431">
        <f t="shared" si="6"/>
        <v>148728.95999999999</v>
      </c>
    </row>
    <row r="432" spans="1:6" x14ac:dyDescent="0.35">
      <c r="A432" t="s">
        <v>474</v>
      </c>
      <c r="B432">
        <v>113.47</v>
      </c>
      <c r="C432">
        <v>911</v>
      </c>
      <c r="D432" t="s">
        <v>6</v>
      </c>
      <c r="E432" t="s">
        <v>247</v>
      </c>
      <c r="F432">
        <f t="shared" si="6"/>
        <v>103371.17</v>
      </c>
    </row>
    <row r="433" spans="1:6" x14ac:dyDescent="0.35">
      <c r="A433" t="s">
        <v>120</v>
      </c>
      <c r="B433">
        <v>381.7</v>
      </c>
      <c r="C433">
        <v>766</v>
      </c>
      <c r="D433" t="s">
        <v>9</v>
      </c>
      <c r="E433" t="s">
        <v>69</v>
      </c>
      <c r="F433">
        <f t="shared" si="6"/>
        <v>292382.2</v>
      </c>
    </row>
    <row r="434" spans="1:6" x14ac:dyDescent="0.35">
      <c r="A434" t="s">
        <v>475</v>
      </c>
      <c r="B434">
        <v>120.43</v>
      </c>
      <c r="C434">
        <v>230</v>
      </c>
      <c r="D434" t="s">
        <v>12</v>
      </c>
      <c r="E434" t="s">
        <v>476</v>
      </c>
      <c r="F434">
        <f t="shared" si="6"/>
        <v>27698.9</v>
      </c>
    </row>
    <row r="435" spans="1:6" x14ac:dyDescent="0.35">
      <c r="A435" t="s">
        <v>477</v>
      </c>
      <c r="B435">
        <v>762.06</v>
      </c>
      <c r="C435">
        <v>650</v>
      </c>
      <c r="D435" t="s">
        <v>14</v>
      </c>
      <c r="E435" t="s">
        <v>478</v>
      </c>
      <c r="F435">
        <f t="shared" si="6"/>
        <v>495338.99999999994</v>
      </c>
    </row>
    <row r="436" spans="1:6" x14ac:dyDescent="0.35">
      <c r="A436" t="s">
        <v>469</v>
      </c>
      <c r="B436">
        <v>900.84</v>
      </c>
      <c r="C436">
        <v>46</v>
      </c>
      <c r="D436" t="s">
        <v>9</v>
      </c>
      <c r="E436" t="s">
        <v>38</v>
      </c>
      <c r="F436">
        <f t="shared" si="6"/>
        <v>41438.639999999999</v>
      </c>
    </row>
    <row r="437" spans="1:6" x14ac:dyDescent="0.35">
      <c r="A437" t="s">
        <v>267</v>
      </c>
      <c r="B437">
        <v>49.52</v>
      </c>
      <c r="C437">
        <v>642</v>
      </c>
      <c r="D437" t="s">
        <v>6</v>
      </c>
      <c r="E437" t="s">
        <v>108</v>
      </c>
      <c r="F437">
        <f t="shared" si="6"/>
        <v>31791.840000000004</v>
      </c>
    </row>
    <row r="438" spans="1:6" x14ac:dyDescent="0.35">
      <c r="A438" t="s">
        <v>479</v>
      </c>
      <c r="B438">
        <v>455.21</v>
      </c>
      <c r="C438">
        <v>469</v>
      </c>
      <c r="D438" t="s">
        <v>17</v>
      </c>
      <c r="E438" t="s">
        <v>191</v>
      </c>
      <c r="F438">
        <f t="shared" si="6"/>
        <v>213493.49</v>
      </c>
    </row>
    <row r="439" spans="1:6" x14ac:dyDescent="0.35">
      <c r="A439" t="s">
        <v>480</v>
      </c>
      <c r="B439">
        <v>430.34</v>
      </c>
      <c r="C439">
        <v>505</v>
      </c>
      <c r="D439" t="s">
        <v>14</v>
      </c>
      <c r="E439" t="s">
        <v>126</v>
      </c>
      <c r="F439">
        <f t="shared" si="6"/>
        <v>217321.69999999998</v>
      </c>
    </row>
    <row r="440" spans="1:6" x14ac:dyDescent="0.35">
      <c r="A440" t="s">
        <v>481</v>
      </c>
      <c r="B440">
        <v>969.07</v>
      </c>
      <c r="C440">
        <v>306</v>
      </c>
      <c r="D440" t="s">
        <v>17</v>
      </c>
      <c r="E440" t="s">
        <v>175</v>
      </c>
      <c r="F440">
        <f t="shared" si="6"/>
        <v>296535.42000000004</v>
      </c>
    </row>
    <row r="441" spans="1:6" x14ac:dyDescent="0.35">
      <c r="A441" t="s">
        <v>482</v>
      </c>
      <c r="B441">
        <v>173.2</v>
      </c>
      <c r="C441">
        <v>554</v>
      </c>
      <c r="D441" t="s">
        <v>9</v>
      </c>
      <c r="E441" t="s">
        <v>7</v>
      </c>
      <c r="F441">
        <f t="shared" si="6"/>
        <v>95952.799999999988</v>
      </c>
    </row>
    <row r="442" spans="1:6" x14ac:dyDescent="0.35">
      <c r="A442" t="s">
        <v>334</v>
      </c>
      <c r="B442">
        <v>786.39</v>
      </c>
      <c r="C442">
        <v>865</v>
      </c>
      <c r="D442" t="s">
        <v>9</v>
      </c>
      <c r="E442" t="s">
        <v>44</v>
      </c>
      <c r="F442">
        <f t="shared" si="6"/>
        <v>680227.35</v>
      </c>
    </row>
    <row r="443" spans="1:6" x14ac:dyDescent="0.35">
      <c r="A443" t="s">
        <v>443</v>
      </c>
      <c r="B443">
        <v>194.73</v>
      </c>
      <c r="C443">
        <v>847</v>
      </c>
      <c r="D443" t="s">
        <v>12</v>
      </c>
      <c r="E443" t="s">
        <v>149</v>
      </c>
      <c r="F443">
        <f t="shared" si="6"/>
        <v>164936.31</v>
      </c>
    </row>
    <row r="444" spans="1:6" x14ac:dyDescent="0.35">
      <c r="A444" t="s">
        <v>483</v>
      </c>
      <c r="B444">
        <v>315.95</v>
      </c>
      <c r="C444">
        <v>603</v>
      </c>
      <c r="D444" t="s">
        <v>14</v>
      </c>
      <c r="E444" t="s">
        <v>149</v>
      </c>
      <c r="F444">
        <f t="shared" si="6"/>
        <v>190517.85</v>
      </c>
    </row>
    <row r="445" spans="1:6" x14ac:dyDescent="0.35">
      <c r="A445" t="s">
        <v>484</v>
      </c>
      <c r="B445">
        <v>940.06</v>
      </c>
      <c r="C445">
        <v>659</v>
      </c>
      <c r="D445" t="s">
        <v>9</v>
      </c>
      <c r="E445" t="s">
        <v>96</v>
      </c>
      <c r="F445">
        <f t="shared" si="6"/>
        <v>619499.53999999992</v>
      </c>
    </row>
    <row r="446" spans="1:6" x14ac:dyDescent="0.35">
      <c r="A446" t="s">
        <v>485</v>
      </c>
      <c r="B446">
        <v>688.59</v>
      </c>
      <c r="C446">
        <v>112</v>
      </c>
      <c r="D446" t="s">
        <v>14</v>
      </c>
      <c r="E446" t="s">
        <v>476</v>
      </c>
      <c r="F446">
        <f t="shared" si="6"/>
        <v>77122.080000000002</v>
      </c>
    </row>
    <row r="447" spans="1:6" x14ac:dyDescent="0.35">
      <c r="A447" t="s">
        <v>486</v>
      </c>
      <c r="B447">
        <v>544.32000000000005</v>
      </c>
      <c r="C447">
        <v>907</v>
      </c>
      <c r="D447" t="s">
        <v>6</v>
      </c>
      <c r="E447" t="s">
        <v>487</v>
      </c>
      <c r="F447">
        <f t="shared" si="6"/>
        <v>493698.24000000005</v>
      </c>
    </row>
    <row r="448" spans="1:6" x14ac:dyDescent="0.35">
      <c r="A448" t="s">
        <v>309</v>
      </c>
      <c r="B448">
        <v>746.97</v>
      </c>
      <c r="C448">
        <v>213</v>
      </c>
      <c r="D448" t="s">
        <v>17</v>
      </c>
      <c r="E448" t="s">
        <v>88</v>
      </c>
      <c r="F448">
        <f t="shared" si="6"/>
        <v>159104.61000000002</v>
      </c>
    </row>
    <row r="449" spans="1:6" x14ac:dyDescent="0.35">
      <c r="A449" t="s">
        <v>109</v>
      </c>
      <c r="B449">
        <v>194.2</v>
      </c>
      <c r="C449">
        <v>155</v>
      </c>
      <c r="D449" t="s">
        <v>6</v>
      </c>
      <c r="E449" t="s">
        <v>63</v>
      </c>
      <c r="F449">
        <f t="shared" si="6"/>
        <v>30101</v>
      </c>
    </row>
    <row r="450" spans="1:6" x14ac:dyDescent="0.35">
      <c r="A450" t="s">
        <v>403</v>
      </c>
      <c r="B450">
        <v>157.61000000000001</v>
      </c>
      <c r="C450">
        <v>995</v>
      </c>
      <c r="D450" t="s">
        <v>14</v>
      </c>
      <c r="E450" t="s">
        <v>112</v>
      </c>
      <c r="F450">
        <f t="shared" si="6"/>
        <v>156821.95000000001</v>
      </c>
    </row>
    <row r="451" spans="1:6" x14ac:dyDescent="0.35">
      <c r="A451" t="s">
        <v>488</v>
      </c>
      <c r="B451">
        <v>261.20999999999998</v>
      </c>
      <c r="C451">
        <v>519</v>
      </c>
      <c r="D451" t="s">
        <v>12</v>
      </c>
      <c r="E451" t="s">
        <v>108</v>
      </c>
      <c r="F451">
        <f t="shared" ref="F451:F501" si="7">B451*C451</f>
        <v>135567.99</v>
      </c>
    </row>
    <row r="452" spans="1:6" x14ac:dyDescent="0.35">
      <c r="A452" t="s">
        <v>489</v>
      </c>
      <c r="B452">
        <v>923.06</v>
      </c>
      <c r="C452">
        <v>658</v>
      </c>
      <c r="D452" t="s">
        <v>14</v>
      </c>
      <c r="E452" t="s">
        <v>490</v>
      </c>
      <c r="F452">
        <f t="shared" si="7"/>
        <v>607373.48</v>
      </c>
    </row>
    <row r="453" spans="1:6" x14ac:dyDescent="0.35">
      <c r="A453" t="s">
        <v>491</v>
      </c>
      <c r="B453">
        <v>564.48</v>
      </c>
      <c r="C453">
        <v>259</v>
      </c>
      <c r="D453" t="s">
        <v>12</v>
      </c>
      <c r="E453" t="s">
        <v>320</v>
      </c>
      <c r="F453">
        <f t="shared" si="7"/>
        <v>146200.32000000001</v>
      </c>
    </row>
    <row r="454" spans="1:6" x14ac:dyDescent="0.35">
      <c r="A454" t="s">
        <v>492</v>
      </c>
      <c r="B454">
        <v>561.63</v>
      </c>
      <c r="C454">
        <v>213</v>
      </c>
      <c r="D454" t="s">
        <v>9</v>
      </c>
      <c r="E454" t="s">
        <v>48</v>
      </c>
      <c r="F454">
        <f t="shared" si="7"/>
        <v>119627.19</v>
      </c>
    </row>
    <row r="455" spans="1:6" x14ac:dyDescent="0.35">
      <c r="A455" t="s">
        <v>493</v>
      </c>
      <c r="B455">
        <v>569.23</v>
      </c>
      <c r="C455">
        <v>145</v>
      </c>
      <c r="D455" t="s">
        <v>12</v>
      </c>
      <c r="E455" t="s">
        <v>72</v>
      </c>
      <c r="F455">
        <f t="shared" si="7"/>
        <v>82538.350000000006</v>
      </c>
    </row>
    <row r="456" spans="1:6" x14ac:dyDescent="0.35">
      <c r="A456" t="s">
        <v>494</v>
      </c>
      <c r="B456">
        <v>336.1</v>
      </c>
      <c r="C456">
        <v>977</v>
      </c>
      <c r="D456" t="s">
        <v>17</v>
      </c>
      <c r="E456" t="s">
        <v>29</v>
      </c>
      <c r="F456">
        <f t="shared" si="7"/>
        <v>328369.7</v>
      </c>
    </row>
    <row r="457" spans="1:6" x14ac:dyDescent="0.35">
      <c r="A457" t="s">
        <v>134</v>
      </c>
      <c r="B457">
        <v>796.28</v>
      </c>
      <c r="C457">
        <v>353</v>
      </c>
      <c r="D457" t="s">
        <v>17</v>
      </c>
      <c r="E457" t="s">
        <v>130</v>
      </c>
      <c r="F457">
        <f t="shared" si="7"/>
        <v>281086.83999999997</v>
      </c>
    </row>
    <row r="458" spans="1:6" x14ac:dyDescent="0.35">
      <c r="A458" t="s">
        <v>364</v>
      </c>
      <c r="B458">
        <v>889.54</v>
      </c>
      <c r="C458">
        <v>114</v>
      </c>
      <c r="D458" t="s">
        <v>14</v>
      </c>
      <c r="E458" t="s">
        <v>23</v>
      </c>
      <c r="F458">
        <f t="shared" si="7"/>
        <v>101407.56</v>
      </c>
    </row>
    <row r="459" spans="1:6" x14ac:dyDescent="0.35">
      <c r="A459" t="s">
        <v>495</v>
      </c>
      <c r="B459">
        <v>179.34</v>
      </c>
      <c r="C459">
        <v>511</v>
      </c>
      <c r="D459" t="s">
        <v>6</v>
      </c>
      <c r="E459" t="s">
        <v>263</v>
      </c>
      <c r="F459">
        <f t="shared" si="7"/>
        <v>91642.74</v>
      </c>
    </row>
    <row r="460" spans="1:6" x14ac:dyDescent="0.35">
      <c r="A460" t="s">
        <v>496</v>
      </c>
      <c r="B460">
        <v>967.96</v>
      </c>
      <c r="C460">
        <v>56</v>
      </c>
      <c r="D460" t="s">
        <v>12</v>
      </c>
      <c r="E460" t="s">
        <v>72</v>
      </c>
      <c r="F460">
        <f t="shared" si="7"/>
        <v>54205.760000000002</v>
      </c>
    </row>
    <row r="461" spans="1:6" x14ac:dyDescent="0.35">
      <c r="A461" t="s">
        <v>375</v>
      </c>
      <c r="B461">
        <v>32.130000000000003</v>
      </c>
      <c r="C461">
        <v>794</v>
      </c>
      <c r="D461" t="s">
        <v>12</v>
      </c>
      <c r="E461" t="s">
        <v>15</v>
      </c>
      <c r="F461">
        <f t="shared" si="7"/>
        <v>25511.22</v>
      </c>
    </row>
    <row r="462" spans="1:6" x14ac:dyDescent="0.35">
      <c r="A462" t="s">
        <v>497</v>
      </c>
      <c r="B462">
        <v>265</v>
      </c>
      <c r="C462">
        <v>23</v>
      </c>
      <c r="D462" t="s">
        <v>9</v>
      </c>
      <c r="E462" t="s">
        <v>498</v>
      </c>
      <c r="F462">
        <f t="shared" si="7"/>
        <v>6095</v>
      </c>
    </row>
    <row r="463" spans="1:6" x14ac:dyDescent="0.35">
      <c r="A463" t="s">
        <v>499</v>
      </c>
      <c r="B463">
        <v>872.18</v>
      </c>
      <c r="C463">
        <v>165</v>
      </c>
      <c r="D463" t="s">
        <v>17</v>
      </c>
      <c r="E463" t="s">
        <v>15</v>
      </c>
      <c r="F463">
        <f t="shared" si="7"/>
        <v>143909.69999999998</v>
      </c>
    </row>
    <row r="464" spans="1:6" x14ac:dyDescent="0.35">
      <c r="A464" t="s">
        <v>500</v>
      </c>
      <c r="B464">
        <v>860.63</v>
      </c>
      <c r="C464">
        <v>836</v>
      </c>
      <c r="D464" t="s">
        <v>17</v>
      </c>
      <c r="E464" t="s">
        <v>42</v>
      </c>
      <c r="F464">
        <f t="shared" si="7"/>
        <v>719486.68</v>
      </c>
    </row>
    <row r="465" spans="1:6" x14ac:dyDescent="0.35">
      <c r="A465" t="s">
        <v>501</v>
      </c>
      <c r="B465">
        <v>977.45</v>
      </c>
      <c r="C465">
        <v>556</v>
      </c>
      <c r="D465" t="s">
        <v>14</v>
      </c>
      <c r="E465" t="s">
        <v>108</v>
      </c>
      <c r="F465">
        <f t="shared" si="7"/>
        <v>543462.20000000007</v>
      </c>
    </row>
    <row r="466" spans="1:6" x14ac:dyDescent="0.35">
      <c r="A466" t="s">
        <v>502</v>
      </c>
      <c r="B466">
        <v>935.05</v>
      </c>
      <c r="C466">
        <v>605</v>
      </c>
      <c r="D466" t="s">
        <v>9</v>
      </c>
      <c r="E466" t="s">
        <v>72</v>
      </c>
      <c r="F466">
        <f t="shared" si="7"/>
        <v>565705.25</v>
      </c>
    </row>
    <row r="467" spans="1:6" x14ac:dyDescent="0.35">
      <c r="A467" t="s">
        <v>503</v>
      </c>
      <c r="B467">
        <v>398.59</v>
      </c>
      <c r="C467">
        <v>484</v>
      </c>
      <c r="D467" t="s">
        <v>12</v>
      </c>
      <c r="E467" t="s">
        <v>44</v>
      </c>
      <c r="F467">
        <f t="shared" si="7"/>
        <v>192917.56</v>
      </c>
    </row>
    <row r="468" spans="1:6" x14ac:dyDescent="0.35">
      <c r="A468" t="s">
        <v>504</v>
      </c>
      <c r="B468">
        <v>498.61</v>
      </c>
      <c r="C468">
        <v>293</v>
      </c>
      <c r="D468" t="s">
        <v>12</v>
      </c>
      <c r="E468" t="s">
        <v>81</v>
      </c>
      <c r="F468">
        <f t="shared" si="7"/>
        <v>146092.73000000001</v>
      </c>
    </row>
    <row r="469" spans="1:6" x14ac:dyDescent="0.35">
      <c r="A469" t="s">
        <v>505</v>
      </c>
      <c r="B469">
        <v>174.15</v>
      </c>
      <c r="C469">
        <v>841</v>
      </c>
      <c r="D469" t="s">
        <v>14</v>
      </c>
      <c r="E469" t="s">
        <v>7</v>
      </c>
      <c r="F469">
        <f t="shared" si="7"/>
        <v>146460.15</v>
      </c>
    </row>
    <row r="470" spans="1:6" x14ac:dyDescent="0.35">
      <c r="A470" t="s">
        <v>506</v>
      </c>
      <c r="B470">
        <v>45.91</v>
      </c>
      <c r="C470">
        <v>21</v>
      </c>
      <c r="D470" t="s">
        <v>6</v>
      </c>
      <c r="E470" t="s">
        <v>175</v>
      </c>
      <c r="F470">
        <f t="shared" si="7"/>
        <v>964.1099999999999</v>
      </c>
    </row>
    <row r="471" spans="1:6" x14ac:dyDescent="0.35">
      <c r="A471" t="s">
        <v>507</v>
      </c>
      <c r="B471">
        <v>181.48</v>
      </c>
      <c r="C471">
        <v>979</v>
      </c>
      <c r="D471" t="s">
        <v>12</v>
      </c>
      <c r="E471" t="s">
        <v>112</v>
      </c>
      <c r="F471">
        <f t="shared" si="7"/>
        <v>177668.91999999998</v>
      </c>
    </row>
    <row r="472" spans="1:6" x14ac:dyDescent="0.35">
      <c r="A472" t="s">
        <v>215</v>
      </c>
      <c r="B472">
        <v>20.67</v>
      </c>
      <c r="C472">
        <v>129</v>
      </c>
      <c r="D472" t="s">
        <v>6</v>
      </c>
      <c r="E472" t="s">
        <v>216</v>
      </c>
      <c r="F472">
        <f t="shared" si="7"/>
        <v>2666.4300000000003</v>
      </c>
    </row>
    <row r="473" spans="1:6" x14ac:dyDescent="0.35">
      <c r="A473" t="s">
        <v>508</v>
      </c>
      <c r="B473">
        <v>569.91</v>
      </c>
      <c r="C473">
        <v>919</v>
      </c>
      <c r="D473" t="s">
        <v>6</v>
      </c>
      <c r="E473" t="s">
        <v>112</v>
      </c>
      <c r="F473">
        <f t="shared" si="7"/>
        <v>523747.29</v>
      </c>
    </row>
    <row r="474" spans="1:6" x14ac:dyDescent="0.35">
      <c r="A474" t="s">
        <v>509</v>
      </c>
      <c r="B474">
        <v>555.27</v>
      </c>
      <c r="C474">
        <v>556</v>
      </c>
      <c r="D474" t="s">
        <v>6</v>
      </c>
      <c r="E474" t="s">
        <v>126</v>
      </c>
      <c r="F474">
        <f t="shared" si="7"/>
        <v>308730.12</v>
      </c>
    </row>
    <row r="475" spans="1:6" x14ac:dyDescent="0.35">
      <c r="A475" t="s">
        <v>510</v>
      </c>
      <c r="B475">
        <v>858.24</v>
      </c>
      <c r="C475">
        <v>570</v>
      </c>
      <c r="D475" t="s">
        <v>9</v>
      </c>
      <c r="E475" t="s">
        <v>15</v>
      </c>
      <c r="F475">
        <f t="shared" si="7"/>
        <v>489196.79999999999</v>
      </c>
    </row>
    <row r="476" spans="1:6" x14ac:dyDescent="0.35">
      <c r="A476" t="s">
        <v>511</v>
      </c>
      <c r="B476">
        <v>524.54999999999995</v>
      </c>
      <c r="C476">
        <v>302</v>
      </c>
      <c r="D476" t="s">
        <v>9</v>
      </c>
      <c r="E476" t="s">
        <v>118</v>
      </c>
      <c r="F476">
        <f t="shared" si="7"/>
        <v>158414.09999999998</v>
      </c>
    </row>
    <row r="477" spans="1:6" x14ac:dyDescent="0.35">
      <c r="A477" t="s">
        <v>233</v>
      </c>
      <c r="B477">
        <v>297.02999999999997</v>
      </c>
      <c r="C477">
        <v>696</v>
      </c>
      <c r="D477" t="s">
        <v>17</v>
      </c>
      <c r="E477" t="s">
        <v>234</v>
      </c>
      <c r="F477">
        <f t="shared" si="7"/>
        <v>206732.87999999998</v>
      </c>
    </row>
    <row r="478" spans="1:6" x14ac:dyDescent="0.35">
      <c r="A478" t="s">
        <v>512</v>
      </c>
      <c r="B478">
        <v>759.62</v>
      </c>
      <c r="C478">
        <v>187</v>
      </c>
      <c r="D478" t="s">
        <v>6</v>
      </c>
      <c r="E478" t="s">
        <v>513</v>
      </c>
      <c r="F478">
        <f t="shared" si="7"/>
        <v>142048.94</v>
      </c>
    </row>
    <row r="479" spans="1:6" x14ac:dyDescent="0.35">
      <c r="A479" t="s">
        <v>514</v>
      </c>
      <c r="B479">
        <v>789.13</v>
      </c>
      <c r="C479">
        <v>52</v>
      </c>
      <c r="D479" t="s">
        <v>9</v>
      </c>
      <c r="E479" t="s">
        <v>7</v>
      </c>
      <c r="F479">
        <f t="shared" si="7"/>
        <v>41034.76</v>
      </c>
    </row>
    <row r="480" spans="1:6" x14ac:dyDescent="0.35">
      <c r="A480" t="s">
        <v>515</v>
      </c>
      <c r="B480">
        <v>105.31</v>
      </c>
      <c r="C480">
        <v>767</v>
      </c>
      <c r="D480" t="s">
        <v>12</v>
      </c>
      <c r="E480" t="s">
        <v>516</v>
      </c>
      <c r="F480">
        <f t="shared" si="7"/>
        <v>80772.77</v>
      </c>
    </row>
    <row r="481" spans="1:6" x14ac:dyDescent="0.35">
      <c r="A481" t="s">
        <v>517</v>
      </c>
      <c r="B481">
        <v>944.88</v>
      </c>
      <c r="C481">
        <v>528</v>
      </c>
      <c r="D481" t="s">
        <v>14</v>
      </c>
      <c r="E481" t="s">
        <v>66</v>
      </c>
      <c r="F481">
        <f t="shared" si="7"/>
        <v>498896.64000000001</v>
      </c>
    </row>
    <row r="482" spans="1:6" x14ac:dyDescent="0.35">
      <c r="A482" t="s">
        <v>518</v>
      </c>
      <c r="B482">
        <v>566.67999999999995</v>
      </c>
      <c r="C482">
        <v>877</v>
      </c>
      <c r="D482" t="s">
        <v>6</v>
      </c>
      <c r="E482" t="s">
        <v>247</v>
      </c>
      <c r="F482">
        <f t="shared" si="7"/>
        <v>496978.35999999993</v>
      </c>
    </row>
    <row r="483" spans="1:6" x14ac:dyDescent="0.35">
      <c r="A483" t="s">
        <v>519</v>
      </c>
      <c r="B483">
        <v>312.89</v>
      </c>
      <c r="C483">
        <v>85</v>
      </c>
      <c r="D483" t="s">
        <v>17</v>
      </c>
      <c r="E483" t="s">
        <v>57</v>
      </c>
      <c r="F483">
        <f t="shared" si="7"/>
        <v>26595.649999999998</v>
      </c>
    </row>
    <row r="484" spans="1:6" x14ac:dyDescent="0.35">
      <c r="A484" t="s">
        <v>520</v>
      </c>
      <c r="B484">
        <v>986.64</v>
      </c>
      <c r="C484">
        <v>992</v>
      </c>
      <c r="D484" t="s">
        <v>14</v>
      </c>
      <c r="E484" t="s">
        <v>240</v>
      </c>
      <c r="F484">
        <f t="shared" si="7"/>
        <v>978746.88</v>
      </c>
    </row>
    <row r="485" spans="1:6" x14ac:dyDescent="0.35">
      <c r="A485" t="s">
        <v>521</v>
      </c>
      <c r="B485">
        <v>478.79</v>
      </c>
      <c r="C485">
        <v>41</v>
      </c>
      <c r="D485" t="s">
        <v>14</v>
      </c>
      <c r="E485" t="s">
        <v>81</v>
      </c>
      <c r="F485">
        <f t="shared" si="7"/>
        <v>19630.39</v>
      </c>
    </row>
    <row r="486" spans="1:6" x14ac:dyDescent="0.35">
      <c r="A486" t="s">
        <v>522</v>
      </c>
      <c r="B486">
        <v>398.64</v>
      </c>
      <c r="C486">
        <v>640</v>
      </c>
      <c r="D486" t="s">
        <v>6</v>
      </c>
      <c r="E486" t="s">
        <v>96</v>
      </c>
      <c r="F486">
        <f t="shared" si="7"/>
        <v>255129.59999999998</v>
      </c>
    </row>
    <row r="487" spans="1:6" x14ac:dyDescent="0.35">
      <c r="A487" t="s">
        <v>523</v>
      </c>
      <c r="B487">
        <v>862.2</v>
      </c>
      <c r="C487">
        <v>564</v>
      </c>
      <c r="D487" t="s">
        <v>12</v>
      </c>
      <c r="E487" t="s">
        <v>44</v>
      </c>
      <c r="F487">
        <f t="shared" si="7"/>
        <v>486280.80000000005</v>
      </c>
    </row>
    <row r="488" spans="1:6" x14ac:dyDescent="0.35">
      <c r="A488" t="s">
        <v>524</v>
      </c>
      <c r="B488">
        <v>737.2</v>
      </c>
      <c r="C488">
        <v>170</v>
      </c>
      <c r="D488" t="s">
        <v>6</v>
      </c>
      <c r="E488" t="s">
        <v>290</v>
      </c>
      <c r="F488">
        <f t="shared" si="7"/>
        <v>125324.00000000001</v>
      </c>
    </row>
    <row r="489" spans="1:6" x14ac:dyDescent="0.35">
      <c r="A489" t="s">
        <v>525</v>
      </c>
      <c r="B489">
        <v>364.89</v>
      </c>
      <c r="C489">
        <v>16</v>
      </c>
      <c r="D489" t="s">
        <v>12</v>
      </c>
      <c r="E489" t="s">
        <v>44</v>
      </c>
      <c r="F489">
        <f t="shared" si="7"/>
        <v>5838.24</v>
      </c>
    </row>
    <row r="490" spans="1:6" x14ac:dyDescent="0.35">
      <c r="A490" t="s">
        <v>179</v>
      </c>
      <c r="B490">
        <v>898.13</v>
      </c>
      <c r="C490">
        <v>169</v>
      </c>
      <c r="D490" t="s">
        <v>17</v>
      </c>
      <c r="E490" t="s">
        <v>7</v>
      </c>
      <c r="F490">
        <f t="shared" si="7"/>
        <v>151783.97</v>
      </c>
    </row>
    <row r="491" spans="1:6" x14ac:dyDescent="0.35">
      <c r="A491" t="s">
        <v>111</v>
      </c>
      <c r="B491">
        <v>79.11</v>
      </c>
      <c r="C491">
        <v>63</v>
      </c>
      <c r="D491" t="s">
        <v>9</v>
      </c>
      <c r="E491" t="s">
        <v>112</v>
      </c>
      <c r="F491">
        <f t="shared" si="7"/>
        <v>4983.93</v>
      </c>
    </row>
    <row r="492" spans="1:6" x14ac:dyDescent="0.35">
      <c r="A492" t="s">
        <v>526</v>
      </c>
      <c r="B492">
        <v>148.75</v>
      </c>
      <c r="C492">
        <v>458</v>
      </c>
      <c r="D492" t="s">
        <v>6</v>
      </c>
      <c r="E492" t="s">
        <v>29</v>
      </c>
      <c r="F492">
        <f t="shared" si="7"/>
        <v>68127.5</v>
      </c>
    </row>
    <row r="493" spans="1:6" x14ac:dyDescent="0.35">
      <c r="A493" t="s">
        <v>527</v>
      </c>
      <c r="B493">
        <v>570.45000000000005</v>
      </c>
      <c r="C493">
        <v>651</v>
      </c>
      <c r="D493" t="s">
        <v>6</v>
      </c>
      <c r="E493" t="s">
        <v>126</v>
      </c>
      <c r="F493">
        <f t="shared" si="7"/>
        <v>371362.95</v>
      </c>
    </row>
    <row r="494" spans="1:6" x14ac:dyDescent="0.35">
      <c r="A494" t="s">
        <v>528</v>
      </c>
      <c r="B494">
        <v>55.51</v>
      </c>
      <c r="C494">
        <v>676</v>
      </c>
      <c r="D494" t="s">
        <v>14</v>
      </c>
      <c r="E494" t="s">
        <v>7</v>
      </c>
      <c r="F494">
        <f t="shared" si="7"/>
        <v>37524.76</v>
      </c>
    </row>
    <row r="495" spans="1:6" x14ac:dyDescent="0.35">
      <c r="A495" t="s">
        <v>529</v>
      </c>
      <c r="B495">
        <v>836.22</v>
      </c>
      <c r="C495">
        <v>987</v>
      </c>
      <c r="D495" t="s">
        <v>14</v>
      </c>
      <c r="E495" t="s">
        <v>295</v>
      </c>
      <c r="F495">
        <f t="shared" si="7"/>
        <v>825349.14</v>
      </c>
    </row>
    <row r="496" spans="1:6" x14ac:dyDescent="0.35">
      <c r="A496" t="s">
        <v>530</v>
      </c>
      <c r="B496">
        <v>64.66</v>
      </c>
      <c r="C496">
        <v>873</v>
      </c>
      <c r="D496" t="s">
        <v>9</v>
      </c>
      <c r="E496" t="s">
        <v>230</v>
      </c>
      <c r="F496">
        <f t="shared" si="7"/>
        <v>56448.18</v>
      </c>
    </row>
    <row r="497" spans="1:6" x14ac:dyDescent="0.35">
      <c r="A497" t="s">
        <v>531</v>
      </c>
      <c r="B497">
        <v>578.61</v>
      </c>
      <c r="C497">
        <v>188</v>
      </c>
      <c r="D497" t="s">
        <v>6</v>
      </c>
      <c r="E497" t="s">
        <v>81</v>
      </c>
      <c r="F497">
        <f t="shared" si="7"/>
        <v>108778.68000000001</v>
      </c>
    </row>
    <row r="498" spans="1:6" x14ac:dyDescent="0.35">
      <c r="A498" t="s">
        <v>532</v>
      </c>
      <c r="B498">
        <v>605.80999999999995</v>
      </c>
      <c r="C498">
        <v>867</v>
      </c>
      <c r="D498" t="s">
        <v>9</v>
      </c>
      <c r="E498" t="s">
        <v>40</v>
      </c>
      <c r="F498">
        <f t="shared" si="7"/>
        <v>525237.2699999999</v>
      </c>
    </row>
    <row r="499" spans="1:6" x14ac:dyDescent="0.35">
      <c r="A499" t="s">
        <v>533</v>
      </c>
      <c r="B499">
        <v>363.85</v>
      </c>
      <c r="C499">
        <v>265</v>
      </c>
      <c r="D499" t="s">
        <v>12</v>
      </c>
      <c r="E499" t="s">
        <v>189</v>
      </c>
      <c r="F499">
        <f t="shared" si="7"/>
        <v>96420.25</v>
      </c>
    </row>
    <row r="500" spans="1:6" x14ac:dyDescent="0.35">
      <c r="A500" t="s">
        <v>534</v>
      </c>
      <c r="B500">
        <v>289.14999999999998</v>
      </c>
      <c r="C500">
        <v>87</v>
      </c>
      <c r="D500" t="s">
        <v>9</v>
      </c>
      <c r="E500" t="s">
        <v>115</v>
      </c>
      <c r="F500">
        <f t="shared" si="7"/>
        <v>25156.05</v>
      </c>
    </row>
    <row r="501" spans="1:6" x14ac:dyDescent="0.35">
      <c r="A501" t="s">
        <v>535</v>
      </c>
      <c r="B501">
        <v>242.79</v>
      </c>
      <c r="C501">
        <v>853</v>
      </c>
      <c r="D501" t="s">
        <v>9</v>
      </c>
      <c r="E501" t="s">
        <v>252</v>
      </c>
      <c r="F501">
        <f t="shared" si="7"/>
        <v>207099.87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8EE2-775D-426C-B0A6-00293608673B}">
  <dimension ref="A1:E6"/>
  <sheetViews>
    <sheetView workbookViewId="0">
      <selection activeCell="B6" sqref="B6"/>
    </sheetView>
  </sheetViews>
  <sheetFormatPr defaultRowHeight="14.5" x14ac:dyDescent="0.35"/>
  <cols>
    <col min="1" max="1" width="16.6328125" customWidth="1"/>
    <col min="2" max="2" width="11.81640625" bestFit="1" customWidth="1"/>
  </cols>
  <sheetData>
    <row r="1" spans="1:5" x14ac:dyDescent="0.35">
      <c r="B1" s="2" t="s">
        <v>537</v>
      </c>
      <c r="C1" s="2"/>
      <c r="D1" s="2"/>
      <c r="E1" s="2"/>
    </row>
    <row r="2" spans="1:5" x14ac:dyDescent="0.35">
      <c r="B2" s="2"/>
      <c r="C2" s="2"/>
      <c r="D2" s="2"/>
      <c r="E2" s="2"/>
    </row>
    <row r="3" spans="1:5" x14ac:dyDescent="0.35">
      <c r="A3" t="s">
        <v>538</v>
      </c>
      <c r="B3">
        <f>SUM(Table1[total value])</f>
        <v>115779878.91999999</v>
      </c>
    </row>
    <row r="4" spans="1:5" x14ac:dyDescent="0.35">
      <c r="A4" t="s">
        <v>539</v>
      </c>
      <c r="B4">
        <f>AVERAGE(Table1[stock_quantity])</f>
        <v>489.28</v>
      </c>
    </row>
    <row r="5" spans="1:5" x14ac:dyDescent="0.35">
      <c r="A5" t="s">
        <v>540</v>
      </c>
      <c r="B5">
        <f>COUNTA(_xlfn.UNIQUE(Table1[product_brand]))</f>
        <v>90</v>
      </c>
    </row>
    <row r="6" spans="1:5" x14ac:dyDescent="0.35">
      <c r="A6" t="s">
        <v>541</v>
      </c>
      <c r="B6" cm="1">
        <f t="array" ref="B6">COUNTA(_xlfn.UNIQUE(Table1[category])*0)</f>
        <v>5</v>
      </c>
    </row>
  </sheetData>
  <mergeCells count="1">
    <mergeCell ref="B1: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4185-2A8F-4FB5-9D06-63554CC0D813}">
  <dimension ref="A1"/>
  <sheetViews>
    <sheetView tabSelected="1" workbookViewId="0">
      <selection sqref="A1:XFD1048576"/>
    </sheetView>
  </sheetViews>
  <sheetFormatPr defaultRowHeight="14.5" x14ac:dyDescent="0.35"/>
  <cols>
    <col min="1" max="16384" width="8.7265625" style="3"/>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10 product</vt:lpstr>
      <vt:lpstr>category</vt:lpstr>
      <vt:lpstr>Sheet6</vt:lpstr>
      <vt:lpstr>top 10 brand</vt:lpstr>
      <vt:lpstr>amazon data</vt:lpstr>
      <vt:lpstr>mis summary</vt:lpstr>
      <vt:lpstr>mis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Tomar</dc:creator>
  <cp:lastModifiedBy>himanshu Tomar</cp:lastModifiedBy>
  <dcterms:created xsi:type="dcterms:W3CDTF">2026-10-11T06:40:47Z</dcterms:created>
  <dcterms:modified xsi:type="dcterms:W3CDTF">2026-10-11T06:40:47Z</dcterms:modified>
</cp:coreProperties>
</file>